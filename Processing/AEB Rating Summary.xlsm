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N:\VRC\Private\DIAdem\IIHS Scripts\AEB\"/>
    </mc:Choice>
  </mc:AlternateContent>
  <bookViews>
    <workbookView xWindow="-15" yWindow="-15" windowWidth="28860" windowHeight="7275"/>
  </bookViews>
  <sheets>
    <sheet name="SUMMARY" sheetId="1" r:id="rId1"/>
    <sheet name="Sheet2" sheetId="2" r:id="rId2"/>
    <sheet name="Sheet3" sheetId="3" r:id="rId3"/>
  </sheets>
  <definedNames>
    <definedName name="AEB_TTC">SUMMARY!$O$11</definedName>
    <definedName name="FCW_TTC">SUMMARY!$N$11</definedName>
    <definedName name="High_speed_points">SUMMARY!$Q$5</definedName>
    <definedName name="Impact_speed">SUMMARY!$R$10</definedName>
    <definedName name="Initial_speed">SUMMARY!$Q$10</definedName>
    <definedName name="low_speed_points">SUMMARY!$Q$4</definedName>
    <definedName name="Max_decel">SUMMARY!$P$10</definedName>
    <definedName name="Max_light">SUMMARY!$M$6</definedName>
    <definedName name="Max_light_time">SUMMARY!$N$6</definedName>
    <definedName name="Max_temp">SUMMARY!$M$5</definedName>
    <definedName name="Max_temp_time">SUMMARY!$N$5</definedName>
    <definedName name="Max_wind">SUMMARY!$M$7</definedName>
    <definedName name="Max_wind_time">SUMMARY!$N$7</definedName>
    <definedName name="Maximum_offset">SUMMARY!$J$11</definedName>
    <definedName name="Maximum_speed">SUMMARY!$F$11</definedName>
    <definedName name="Maximum_yaw">SUMMARY!$H$11</definedName>
    <definedName name="Min_light">SUMMARY!$K$6</definedName>
    <definedName name="Min_light_time">SUMMARY!$L$6</definedName>
    <definedName name="Min_temp">SUMMARY!$K$5</definedName>
    <definedName name="Min_temp_time">SUMMARY!$L$5</definedName>
    <definedName name="Min_wind">SUMMARY!$K$7</definedName>
    <definedName name="Min_wind_time">SUMMARY!$L$7</definedName>
    <definedName name="Minimum_APP">SUMMARY!$L$11</definedName>
    <definedName name="Minimum_offset">SUMMARY!$I$11</definedName>
    <definedName name="Minimum_speed">SUMMARY!$E$11</definedName>
    <definedName name="Minimum_yaw">SUMMARY!$G$11</definedName>
    <definedName name="Run_data">SUMMARY!$B$12:$S$96</definedName>
    <definedName name="Run_number">SUMMARY!$C$10</definedName>
    <definedName name="Speed_reduction">SUMMARY!$S$10</definedName>
    <definedName name="Speed_Reduction_20kph">SUMMARY!$C$5</definedName>
    <definedName name="Speed_Reduction_40kph">SUMMARY!$C$6</definedName>
    <definedName name="Target_APP">SUMMARY!$K$11</definedName>
    <definedName name="Test_End">SUMMARY!$G$5</definedName>
    <definedName name="Test_speed">SUMMARY!$B$10</definedName>
    <definedName name="Test_Start">SUMMARY!$G$4</definedName>
    <definedName name="Test_time">SUMMARY!$D$10</definedName>
    <definedName name="Test_vehicle">SUMMARY!$B$1</definedName>
    <definedName name="TestID">SUMMARY!$A$1</definedName>
    <definedName name="Total_points">SUMMARY!$Q$6</definedName>
    <definedName name="Valid_20kph_Tests">SUMMARY!$D$5</definedName>
    <definedName name="Valid_40kph_Tests">SUMMARY!$D$6</definedName>
  </definedNames>
  <calcPr calcId="152511"/>
</workbook>
</file>

<file path=xl/calcChain.xml><?xml version="1.0" encoding="utf-8"?>
<calcChain xmlns="http://schemas.openxmlformats.org/spreadsheetml/2006/main">
  <c r="Q5" i="1" l="1"/>
  <c r="Q4" i="1" l="1"/>
  <c r="Q6" i="1" l="1"/>
</calcChain>
</file>

<file path=xl/sharedStrings.xml><?xml version="1.0" encoding="utf-8"?>
<sst xmlns="http://schemas.openxmlformats.org/spreadsheetml/2006/main" count="47" uniqueCount="36">
  <si>
    <t>TESTID</t>
  </si>
  <si>
    <t>Year Make Model</t>
  </si>
  <si>
    <t>Test Speed</t>
  </si>
  <si>
    <t>Average Speed Reduction</t>
  </si>
  <si>
    <t>km/h</t>
  </si>
  <si>
    <t>Valid Runs</t>
  </si>
  <si>
    <t>Run Number</t>
  </si>
  <si>
    <t>Minimum</t>
  </si>
  <si>
    <t>Maximum</t>
  </si>
  <si>
    <t>Target</t>
  </si>
  <si>
    <t>Speed (km/h)</t>
  </si>
  <si>
    <t>Lateral Offset (m)</t>
  </si>
  <si>
    <t>Accelerator Pedal Position (%)</t>
  </si>
  <si>
    <t>Initial Speed (km/h)</t>
  </si>
  <si>
    <t>Impact Speed (km/h)</t>
  </si>
  <si>
    <t>Speed Reduction (km/h)</t>
  </si>
  <si>
    <t>FCW</t>
  </si>
  <si>
    <t>AEB</t>
  </si>
  <si>
    <t>TTC (s)</t>
  </si>
  <si>
    <t>Condition</t>
  </si>
  <si>
    <t>Light (Lux)</t>
  </si>
  <si>
    <t>Wind (m/s)</t>
  </si>
  <si>
    <t>Time</t>
  </si>
  <si>
    <t>Test Time</t>
  </si>
  <si>
    <t>Test Start</t>
  </si>
  <si>
    <t>Test End</t>
  </si>
  <si>
    <t>Points</t>
  </si>
  <si>
    <t>20 km/h</t>
  </si>
  <si>
    <t>40 km/h</t>
  </si>
  <si>
    <t>Total</t>
  </si>
  <si>
    <t>Max Decel (m/s^2)</t>
  </si>
  <si>
    <t>Yaw Rate (⁰/s)</t>
  </si>
  <si>
    <t>Test Speed (km/h)</t>
  </si>
  <si>
    <t>Date/Time</t>
  </si>
  <si>
    <t>Temp. (⁰F)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</si>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</sst>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/d/yy\ h:mm\ AM/PM;@"/>
    <numFmt numFmtId="165" formatCode="0.0"/>
  </numFmts>
  <fonts count="9">
    <font>
      <sz val="11"/>
      <color theme="1"/>
      <name val="Calibri"/>
      <family val="2"/>
      <scheme val="minor"/>
    </font>
    <font>
      <sz val="10"/>
      <name val="Univers Condensed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1"/>
      <name val="Univers Condensed"/>
      <family val="2"/>
    </font>
    <font>
      <sz val="11"/>
      <color theme="1"/>
      <name val="Univers Condensed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</fills>
  <borders count="22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/>
      </bottom>
      <diagonal/>
    </border>
    <border>
      <left/>
      <right/>
      <top style="double">
        <color theme="4"/>
      </top>
      <bottom/>
      <diagonal/>
    </border>
    <border>
      <left style="thin">
        <color theme="4"/>
      </left>
      <right/>
      <top style="thin">
        <color theme="4"/>
      </top>
      <bottom style="double">
        <color theme="4"/>
      </bottom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/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 style="double">
        <color theme="4"/>
      </bottom>
      <diagonal/>
    </border>
    <border>
      <left style="thin">
        <color theme="4"/>
      </left>
      <right/>
      <top/>
      <bottom style="double">
        <color theme="4"/>
      </bottom>
      <diagonal/>
    </border>
    <border>
      <left/>
      <right style="thin">
        <color theme="4"/>
      </right>
      <top/>
      <bottom/>
      <diagonal/>
    </border>
    <border>
      <left/>
      <right style="thin">
        <color theme="4"/>
      </right>
      <top/>
      <bottom style="thin">
        <color theme="4"/>
      </bottom>
      <diagonal/>
    </border>
    <border>
      <left/>
      <right style="thin">
        <color theme="4"/>
      </right>
      <top/>
      <bottom style="double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double">
        <color theme="4"/>
      </bottom>
      <diagonal/>
    </border>
    <border>
      <left style="thin">
        <color theme="4"/>
      </left>
      <right style="thin">
        <color theme="4"/>
      </right>
      <top/>
      <bottom/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double">
        <color theme="4"/>
      </top>
      <bottom/>
      <diagonal/>
    </border>
    <border>
      <left/>
      <right style="thin">
        <color theme="4"/>
      </right>
      <top style="double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/>
      <bottom style="double">
        <color theme="4"/>
      </bottom>
      <diagonal/>
    </border>
    <border>
      <left style="thin">
        <color theme="4"/>
      </left>
      <right style="thin">
        <color theme="4"/>
      </right>
      <top style="double">
        <color theme="4"/>
      </top>
      <bottom/>
      <diagonal/>
    </border>
  </borders>
  <cellStyleXfs count="5">
    <xf numFmtId="0" fontId="0" fillId="0" borderId="0"/>
    <xf numFmtId="0" fontId="1" fillId="0" borderId="0"/>
    <xf numFmtId="0" fontId="3" fillId="0" borderId="1" applyNumberFormat="0" applyFill="0" applyAlignment="0" applyProtection="0"/>
    <xf numFmtId="0" fontId="2" fillId="2" borderId="0" applyNumberFormat="0" applyBorder="0" applyAlignment="0" applyProtection="0"/>
    <xf numFmtId="0" fontId="4" fillId="3" borderId="0" applyNumberFormat="0" applyBorder="0" applyAlignment="0" applyProtection="0"/>
  </cellStyleXfs>
  <cellXfs count="88">
    <xf numFmtId="0" fontId="0" fillId="0" borderId="0" xfId="0"/>
    <xf numFmtId="0" fontId="2" fillId="0" borderId="0" xfId="0" applyFont="1" applyProtection="1">
      <protection locked="0"/>
    </xf>
    <xf numFmtId="0" fontId="7" fillId="0" borderId="0" xfId="1" applyFont="1" applyProtection="1">
      <protection locked="0"/>
    </xf>
    <xf numFmtId="0" fontId="8" fillId="0" borderId="0" xfId="1" applyFont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2" fontId="2" fillId="0" borderId="0" xfId="0" applyNumberFormat="1" applyFont="1" applyAlignment="1" applyProtection="1">
      <alignment horizontal="center"/>
      <protection locked="0"/>
    </xf>
    <xf numFmtId="0" fontId="5" fillId="0" borderId="0" xfId="1" applyFont="1" applyProtection="1"/>
    <xf numFmtId="0" fontId="3" fillId="0" borderId="4" xfId="2" applyFont="1" applyBorder="1" applyAlignment="1" applyProtection="1">
      <alignment horizontal="center"/>
    </xf>
    <xf numFmtId="0" fontId="3" fillId="0" borderId="8" xfId="2" applyFont="1" applyBorder="1" applyAlignment="1" applyProtection="1">
      <alignment horizontal="center"/>
    </xf>
    <xf numFmtId="0" fontId="2" fillId="2" borderId="5" xfId="3" applyFont="1" applyBorder="1" applyAlignment="1" applyProtection="1">
      <alignment horizontal="center"/>
    </xf>
    <xf numFmtId="2" fontId="2" fillId="2" borderId="5" xfId="3" applyNumberFormat="1" applyFont="1" applyBorder="1" applyAlignment="1" applyProtection="1">
      <alignment horizontal="center"/>
    </xf>
    <xf numFmtId="0" fontId="2" fillId="2" borderId="10" xfId="3" applyFont="1" applyBorder="1" applyAlignment="1" applyProtection="1">
      <alignment horizontal="center"/>
    </xf>
    <xf numFmtId="0" fontId="2" fillId="3" borderId="5" xfId="4" applyFont="1" applyBorder="1" applyAlignment="1" applyProtection="1">
      <alignment horizontal="center"/>
    </xf>
    <xf numFmtId="2" fontId="2" fillId="3" borderId="5" xfId="4" applyNumberFormat="1" applyFont="1" applyBorder="1" applyAlignment="1" applyProtection="1">
      <alignment horizontal="center"/>
    </xf>
    <xf numFmtId="2" fontId="2" fillId="2" borderId="6" xfId="3" applyNumberFormat="1" applyFont="1" applyBorder="1" applyAlignment="1" applyProtection="1">
      <alignment horizontal="center"/>
    </xf>
    <xf numFmtId="0" fontId="3" fillId="0" borderId="4" xfId="2" applyFont="1" applyBorder="1" applyProtection="1"/>
    <xf numFmtId="0" fontId="2" fillId="2" borderId="5" xfId="3" applyFont="1" applyBorder="1" applyProtection="1"/>
    <xf numFmtId="0" fontId="2" fillId="3" borderId="6" xfId="4" applyFont="1" applyBorder="1" applyProtection="1"/>
    <xf numFmtId="0" fontId="3" fillId="0" borderId="4" xfId="2" applyBorder="1" applyAlignment="1" applyProtection="1">
      <alignment horizontal="center"/>
    </xf>
    <xf numFmtId="0" fontId="3" fillId="0" borderId="8" xfId="2" applyBorder="1" applyAlignment="1" applyProtection="1">
      <alignment horizontal="center"/>
    </xf>
    <xf numFmtId="0" fontId="3" fillId="0" borderId="1" xfId="2" applyBorder="1" applyAlignment="1" applyProtection="1">
      <alignment horizontal="center"/>
    </xf>
    <xf numFmtId="0" fontId="2" fillId="2" borderId="0" xfId="3" applyFont="1" applyBorder="1" applyAlignment="1" applyProtection="1">
      <alignment horizontal="center"/>
    </xf>
    <xf numFmtId="0" fontId="2" fillId="3" borderId="5" xfId="4" applyFont="1" applyBorder="1" applyProtection="1"/>
    <xf numFmtId="0" fontId="2" fillId="3" borderId="0" xfId="4" applyFont="1" applyBorder="1" applyAlignment="1" applyProtection="1">
      <alignment horizontal="center"/>
    </xf>
    <xf numFmtId="0" fontId="2" fillId="2" borderId="6" xfId="3" applyFont="1" applyBorder="1" applyProtection="1"/>
    <xf numFmtId="0" fontId="3" fillId="0" borderId="13" xfId="2" applyFont="1" applyBorder="1" applyAlignment="1" applyProtection="1">
      <alignment horizontal="center"/>
    </xf>
    <xf numFmtId="0" fontId="2" fillId="2" borderId="14" xfId="3" applyFont="1" applyBorder="1" applyAlignment="1" applyProtection="1">
      <alignment horizontal="center"/>
    </xf>
    <xf numFmtId="0" fontId="2" fillId="3" borderId="15" xfId="4" applyFont="1" applyBorder="1" applyAlignment="1" applyProtection="1">
      <alignment horizontal="center"/>
    </xf>
    <xf numFmtId="0" fontId="2" fillId="3" borderId="11" xfId="4" applyFont="1" applyBorder="1" applyAlignment="1" applyProtection="1">
      <alignment horizontal="center"/>
    </xf>
    <xf numFmtId="0" fontId="2" fillId="0" borderId="0" xfId="0" applyFont="1" applyAlignment="1" applyProtection="1">
      <alignment horizontal="center"/>
    </xf>
    <xf numFmtId="0" fontId="3" fillId="0" borderId="1" xfId="2" applyFont="1" applyBorder="1" applyAlignment="1" applyProtection="1">
      <alignment horizontal="center"/>
    </xf>
    <xf numFmtId="0" fontId="2" fillId="2" borderId="21" xfId="3" applyFont="1" applyBorder="1" applyAlignment="1" applyProtection="1">
      <alignment horizontal="center"/>
    </xf>
    <xf numFmtId="2" fontId="2" fillId="2" borderId="17" xfId="3" applyNumberFormat="1" applyFont="1" applyBorder="1" applyAlignment="1" applyProtection="1">
      <alignment horizontal="center"/>
    </xf>
    <xf numFmtId="2" fontId="2" fillId="2" borderId="18" xfId="3" applyNumberFormat="1" applyFont="1" applyBorder="1" applyAlignment="1" applyProtection="1">
      <alignment horizontal="center"/>
    </xf>
    <xf numFmtId="2" fontId="2" fillId="2" borderId="3" xfId="3" applyNumberFormat="1" applyFont="1" applyBorder="1" applyAlignment="1" applyProtection="1">
      <alignment horizontal="center"/>
    </xf>
    <xf numFmtId="2" fontId="2" fillId="2" borderId="21" xfId="3" applyNumberFormat="1" applyFont="1" applyBorder="1" applyAlignment="1" applyProtection="1">
      <alignment horizontal="center"/>
    </xf>
    <xf numFmtId="0" fontId="2" fillId="3" borderId="14" xfId="4" applyFont="1" applyBorder="1" applyAlignment="1" applyProtection="1">
      <alignment horizontal="center"/>
    </xf>
    <xf numFmtId="2" fontId="2" fillId="3" borderId="10" xfId="4" applyNumberFormat="1" applyFont="1" applyBorder="1" applyAlignment="1" applyProtection="1">
      <alignment horizontal="center"/>
    </xf>
    <xf numFmtId="2" fontId="2" fillId="3" borderId="0" xfId="4" applyNumberFormat="1" applyFont="1" applyBorder="1" applyAlignment="1" applyProtection="1">
      <alignment horizontal="center"/>
    </xf>
    <xf numFmtId="2" fontId="2" fillId="3" borderId="14" xfId="4" applyNumberFormat="1" applyFont="1" applyBorder="1" applyAlignment="1" applyProtection="1">
      <alignment horizontal="center"/>
    </xf>
    <xf numFmtId="2" fontId="2" fillId="2" borderId="10" xfId="3" applyNumberFormat="1" applyFont="1" applyBorder="1" applyAlignment="1" applyProtection="1">
      <alignment horizontal="center"/>
    </xf>
    <xf numFmtId="2" fontId="2" fillId="2" borderId="0" xfId="3" applyNumberFormat="1" applyFont="1" applyBorder="1" applyAlignment="1" applyProtection="1">
      <alignment horizontal="center"/>
    </xf>
    <xf numFmtId="2" fontId="2" fillId="2" borderId="14" xfId="3" applyNumberFormat="1" applyFont="1" applyBorder="1" applyAlignment="1" applyProtection="1">
      <alignment horizontal="center"/>
    </xf>
    <xf numFmtId="0" fontId="2" fillId="2" borderId="15" xfId="3" applyFont="1" applyBorder="1" applyAlignment="1" applyProtection="1">
      <alignment horizontal="center"/>
    </xf>
    <xf numFmtId="2" fontId="2" fillId="2" borderId="11" xfId="3" applyNumberFormat="1" applyFont="1" applyBorder="1" applyAlignment="1" applyProtection="1">
      <alignment horizontal="center"/>
    </xf>
    <xf numFmtId="2" fontId="2" fillId="2" borderId="2" xfId="3" applyNumberFormat="1" applyFont="1" applyBorder="1" applyAlignment="1" applyProtection="1">
      <alignment horizontal="center"/>
    </xf>
    <xf numFmtId="2" fontId="2" fillId="2" borderId="15" xfId="3" applyNumberFormat="1" applyFont="1" applyBorder="1" applyAlignment="1" applyProtection="1">
      <alignment horizontal="center"/>
    </xf>
    <xf numFmtId="49" fontId="2" fillId="2" borderId="21" xfId="3" applyNumberFormat="1" applyFont="1" applyBorder="1" applyAlignment="1" applyProtection="1">
      <alignment horizontal="center"/>
    </xf>
    <xf numFmtId="49" fontId="2" fillId="3" borderId="14" xfId="4" applyNumberFormat="1" applyFont="1" applyBorder="1" applyAlignment="1" applyProtection="1">
      <alignment horizontal="center"/>
    </xf>
    <xf numFmtId="49" fontId="2" fillId="2" borderId="14" xfId="3" applyNumberFormat="1" applyFont="1" applyBorder="1" applyAlignment="1" applyProtection="1">
      <alignment horizontal="center"/>
    </xf>
    <xf numFmtId="49" fontId="2" fillId="2" borderId="15" xfId="3" applyNumberFormat="1" applyFont="1" applyBorder="1" applyAlignment="1" applyProtection="1">
      <alignment horizontal="center"/>
    </xf>
    <xf numFmtId="164" fontId="2" fillId="2" borderId="21" xfId="3" applyNumberFormat="1" applyFont="1" applyBorder="1" applyAlignment="1" applyProtection="1">
      <alignment horizontal="center"/>
    </xf>
    <xf numFmtId="164" fontId="2" fillId="3" borderId="14" xfId="4" applyNumberFormat="1" applyFont="1" applyBorder="1" applyAlignment="1" applyProtection="1">
      <alignment horizontal="center"/>
    </xf>
    <xf numFmtId="164" fontId="2" fillId="2" borderId="14" xfId="3" applyNumberFormat="1" applyFont="1" applyBorder="1" applyAlignment="1" applyProtection="1">
      <alignment horizontal="center"/>
    </xf>
    <xf numFmtId="164" fontId="2" fillId="2" borderId="15" xfId="3" applyNumberFormat="1" applyFont="1" applyBorder="1" applyAlignment="1" applyProtection="1">
      <alignment horizontal="center"/>
    </xf>
    <xf numFmtId="164" fontId="2" fillId="2" borderId="10" xfId="3" applyNumberFormat="1" applyFont="1" applyBorder="1" applyAlignment="1" applyProtection="1">
      <alignment horizontal="center"/>
    </xf>
    <xf numFmtId="164" fontId="2" fillId="3" borderId="10" xfId="4" applyNumberFormat="1" applyFont="1" applyBorder="1" applyAlignment="1" applyProtection="1">
      <alignment horizontal="center"/>
    </xf>
    <xf numFmtId="164" fontId="2" fillId="2" borderId="11" xfId="3" applyNumberFormat="1" applyFont="1" applyBorder="1" applyAlignment="1" applyProtection="1">
      <alignment horizontal="center"/>
    </xf>
    <xf numFmtId="165" fontId="2" fillId="2" borderId="2" xfId="3" applyNumberFormat="1" applyFont="1" applyBorder="1" applyAlignment="1" applyProtection="1">
      <alignment horizontal="center"/>
    </xf>
    <xf numFmtId="165" fontId="2" fillId="2" borderId="6" xfId="3" applyNumberFormat="1" applyFont="1" applyBorder="1" applyAlignment="1" applyProtection="1">
      <alignment horizontal="center"/>
    </xf>
    <xf numFmtId="0" fontId="2" fillId="0" borderId="0" xfId="3" applyFont="1" applyFill="1" applyBorder="1" applyAlignment="1" applyProtection="1">
      <alignment horizontal="center"/>
    </xf>
    <xf numFmtId="2" fontId="2" fillId="0" borderId="0" xfId="3" applyNumberFormat="1" applyFont="1" applyFill="1" applyBorder="1" applyAlignment="1" applyProtection="1">
      <alignment horizontal="center"/>
    </xf>
    <xf numFmtId="0" fontId="2" fillId="0" borderId="0" xfId="4" applyFont="1" applyFill="1" applyBorder="1" applyAlignment="1" applyProtection="1">
      <alignment horizontal="center"/>
    </xf>
    <xf numFmtId="2" fontId="2" fillId="0" borderId="0" xfId="4" applyNumberFormat="1" applyFont="1" applyFill="1" applyBorder="1" applyAlignment="1" applyProtection="1">
      <alignment horizontal="center"/>
    </xf>
    <xf numFmtId="0" fontId="2" fillId="2" borderId="17" xfId="3" applyFont="1" applyBorder="1" applyAlignment="1" applyProtection="1">
      <alignment horizontal="center"/>
    </xf>
    <xf numFmtId="0" fontId="2" fillId="2" borderId="18" xfId="3" applyFont="1" applyBorder="1" applyAlignment="1" applyProtection="1">
      <alignment horizontal="center"/>
    </xf>
    <xf numFmtId="0" fontId="2" fillId="3" borderId="6" xfId="4" applyFont="1" applyBorder="1" applyAlignment="1" applyProtection="1">
      <alignment horizontal="center"/>
    </xf>
    <xf numFmtId="2" fontId="2" fillId="3" borderId="6" xfId="4" applyNumberFormat="1" applyFont="1" applyBorder="1" applyAlignment="1" applyProtection="1">
      <alignment horizontal="center"/>
    </xf>
    <xf numFmtId="0" fontId="3" fillId="0" borderId="19" xfId="2" applyFont="1" applyBorder="1" applyAlignment="1" applyProtection="1">
      <alignment horizontal="center" wrapText="1"/>
    </xf>
    <xf numFmtId="0" fontId="3" fillId="0" borderId="20" xfId="2" applyFont="1" applyBorder="1" applyAlignment="1" applyProtection="1">
      <alignment horizontal="center" wrapText="1"/>
    </xf>
    <xf numFmtId="0" fontId="3" fillId="0" borderId="16" xfId="2" applyFont="1" applyBorder="1" applyAlignment="1" applyProtection="1">
      <alignment horizontal="center" wrapText="1"/>
    </xf>
    <xf numFmtId="0" fontId="3" fillId="0" borderId="12" xfId="2" applyFont="1" applyBorder="1" applyAlignment="1" applyProtection="1">
      <alignment horizontal="center" wrapText="1"/>
    </xf>
    <xf numFmtId="0" fontId="3" fillId="0" borderId="4" xfId="2" applyFont="1" applyBorder="1" applyAlignment="1" applyProtection="1">
      <alignment horizontal="center"/>
    </xf>
    <xf numFmtId="0" fontId="3" fillId="0" borderId="8" xfId="2" applyFont="1" applyBorder="1" applyAlignment="1" applyProtection="1">
      <alignment horizontal="center"/>
    </xf>
    <xf numFmtId="0" fontId="3" fillId="0" borderId="19" xfId="2" applyFont="1" applyBorder="1" applyAlignment="1" applyProtection="1">
      <alignment horizontal="center"/>
    </xf>
    <xf numFmtId="0" fontId="3" fillId="0" borderId="20" xfId="2" applyFont="1" applyBorder="1" applyAlignment="1" applyProtection="1">
      <alignment horizontal="center"/>
    </xf>
    <xf numFmtId="0" fontId="3" fillId="0" borderId="1" xfId="2" applyFont="1" applyBorder="1" applyAlignment="1" applyProtection="1">
      <alignment horizontal="center"/>
    </xf>
    <xf numFmtId="164" fontId="2" fillId="3" borderId="6" xfId="4" applyNumberFormat="1" applyFont="1" applyBorder="1" applyAlignment="1" applyProtection="1">
      <alignment horizontal="center"/>
    </xf>
    <xf numFmtId="164" fontId="2" fillId="3" borderId="11" xfId="4" applyNumberFormat="1" applyFont="1" applyBorder="1" applyAlignment="1" applyProtection="1">
      <alignment horizontal="center"/>
    </xf>
    <xf numFmtId="0" fontId="6" fillId="0" borderId="0" xfId="1" applyFont="1" applyAlignment="1" applyProtection="1">
      <alignment horizontal="center"/>
    </xf>
    <xf numFmtId="0" fontId="3" fillId="0" borderId="7" xfId="2" applyFont="1" applyBorder="1" applyAlignment="1" applyProtection="1">
      <alignment horizontal="center" wrapText="1"/>
    </xf>
    <xf numFmtId="0" fontId="3" fillId="0" borderId="9" xfId="2" applyFont="1" applyBorder="1" applyAlignment="1" applyProtection="1">
      <alignment horizontal="center" wrapText="1"/>
    </xf>
    <xf numFmtId="164" fontId="2" fillId="2" borderId="5" xfId="3" applyNumberFormat="1" applyFont="1" applyBorder="1" applyAlignment="1" applyProtection="1">
      <alignment horizontal="center"/>
    </xf>
    <xf numFmtId="164" fontId="2" fillId="2" borderId="10" xfId="3" applyNumberFormat="1" applyFont="1" applyBorder="1" applyAlignment="1" applyProtection="1">
      <alignment horizontal="center"/>
    </xf>
    <xf numFmtId="0" fontId="3" fillId="0" borderId="19" xfId="2" applyBorder="1" applyAlignment="1" applyProtection="1">
      <alignment horizontal="center"/>
    </xf>
    <xf numFmtId="0" fontId="3" fillId="0" borderId="20" xfId="2" applyBorder="1" applyAlignment="1" applyProtection="1">
      <alignment horizontal="center"/>
    </xf>
    <xf numFmtId="0" fontId="3" fillId="0" borderId="4" xfId="2" applyBorder="1" applyAlignment="1" applyProtection="1">
      <alignment horizontal="center"/>
    </xf>
    <xf numFmtId="0" fontId="3" fillId="0" borderId="8" xfId="2" applyBorder="1" applyAlignment="1" applyProtection="1">
      <alignment horizontal="center"/>
    </xf>
  </cellXfs>
  <cellStyles count="5">
    <cellStyle name="20% - Accent1" xfId="3" builtinId="30"/>
    <cellStyle name="60% - Accent1" xfId="4" builtinId="32"/>
    <cellStyle name="Normal" xfId="0" builtinId="0"/>
    <cellStyle name="Normal_Summary sheet" xfId="1"/>
    <cellStyle name="Total" xfId="2" builtinId="2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96"/>
  <sheetViews>
    <sheetView tabSelected="1" zoomScale="90" zoomScaleNormal="90" workbookViewId="0">
      <selection activeCell="M3" sqref="M3:N3"/>
    </sheetView>
  </sheetViews>
  <sheetFormatPr defaultRowHeight="15"/>
  <cols>
    <col min="1" max="1" width="11.7109375" style="1" customWidth="1"/>
    <col min="2" max="2" width="11.85546875" style="4" customWidth="1"/>
    <col min="3" max="3" width="12.7109375" style="4" customWidth="1"/>
    <col min="4" max="4" width="19.140625" style="4" customWidth="1"/>
    <col min="5" max="7" width="12.7109375" style="5" customWidth="1"/>
    <col min="8" max="8" width="17.7109375" style="5" customWidth="1"/>
    <col min="9" max="9" width="12.7109375" style="5" customWidth="1"/>
    <col min="10" max="10" width="17.7109375" style="5" customWidth="1"/>
    <col min="11" max="11" width="12.7109375" style="5" customWidth="1"/>
    <col min="12" max="12" width="16.7109375" style="5" customWidth="1"/>
    <col min="13" max="13" width="12.7109375" style="5" customWidth="1"/>
    <col min="14" max="14" width="16.7109375" style="5" customWidth="1"/>
    <col min="15" max="17" width="12.7109375" style="5" customWidth="1"/>
    <col min="18" max="18" width="16.42578125" style="5" customWidth="1"/>
    <col min="19" max="19" width="15.7109375" style="5" customWidth="1"/>
    <col min="20" max="16384" width="9.140625" style="1"/>
  </cols>
  <sheetData>
    <row r="1" spans="1:19" ht="18.75">
      <c r="A1" s="6" t="s">
        <v>0</v>
      </c>
      <c r="B1" s="79" t="s">
        <v>1</v>
      </c>
      <c r="C1" s="79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>
      <c r="A2" s="2"/>
      <c r="B2" s="3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ht="15.75" thickBot="1">
      <c r="B3" s="80" t="s">
        <v>32</v>
      </c>
      <c r="C3" s="72" t="s">
        <v>3</v>
      </c>
      <c r="D3" s="73"/>
      <c r="E3" s="1"/>
      <c r="F3" s="15"/>
      <c r="G3" s="72" t="s">
        <v>33</v>
      </c>
      <c r="H3" s="73"/>
      <c r="I3" s="1"/>
      <c r="J3" s="84" t="s">
        <v>19</v>
      </c>
      <c r="K3" s="86" t="s">
        <v>7</v>
      </c>
      <c r="L3" s="87"/>
      <c r="M3" s="86" t="s">
        <v>8</v>
      </c>
      <c r="N3" s="87"/>
      <c r="O3" s="1"/>
      <c r="P3" s="25" t="s">
        <v>2</v>
      </c>
      <c r="Q3" s="8" t="s">
        <v>26</v>
      </c>
      <c r="R3" s="1"/>
      <c r="S3" s="1"/>
    </row>
    <row r="4" spans="1:19" ht="16.5" thickTop="1" thickBot="1">
      <c r="B4" s="81"/>
      <c r="C4" s="7" t="s">
        <v>4</v>
      </c>
      <c r="D4" s="8" t="s">
        <v>5</v>
      </c>
      <c r="E4" s="1"/>
      <c r="F4" s="16" t="s">
        <v>24</v>
      </c>
      <c r="G4" s="82"/>
      <c r="H4" s="83"/>
      <c r="I4" s="1"/>
      <c r="J4" s="85"/>
      <c r="K4" s="18" t="s">
        <v>35</v>
      </c>
      <c r="L4" s="19" t="s">
        <v>22</v>
      </c>
      <c r="M4" s="20" t="s">
        <v>35</v>
      </c>
      <c r="N4" s="19" t="s">
        <v>22</v>
      </c>
      <c r="O4" s="1"/>
      <c r="P4" s="26" t="s">
        <v>27</v>
      </c>
      <c r="Q4" s="11" t="str">
        <f>IF(Speed_Reduction_20kph=""," ",IF(ROUND(Speed_Reduction_20kph,0)&lt;8,0,IF(AND(ROUND(Speed_Reduction_20kph,0)&gt;=8,ROUND(Speed_Reduction_20kph,0)&lt;16),1,2)))</f>
        <v xml:space="preserve"> </v>
      </c>
      <c r="R4" s="1"/>
      <c r="S4" s="1"/>
    </row>
    <row r="5" spans="1:19" ht="15.75" thickTop="1">
      <c r="B5" s="64">
        <v>20</v>
      </c>
      <c r="C5" s="32"/>
      <c r="D5" s="65"/>
      <c r="E5" s="1"/>
      <c r="F5" s="17" t="s">
        <v>25</v>
      </c>
      <c r="G5" s="77"/>
      <c r="H5" s="78"/>
      <c r="I5" s="1"/>
      <c r="J5" s="16" t="s">
        <v>34</v>
      </c>
      <c r="K5" s="9"/>
      <c r="L5" s="55"/>
      <c r="M5" s="21"/>
      <c r="N5" s="55"/>
      <c r="O5" s="1"/>
      <c r="P5" s="27" t="s">
        <v>28</v>
      </c>
      <c r="Q5" s="28" t="str">
        <f>IF(Speed_Reduction_40kph=""," ",IF(Speed_Reduction_40kph="N/A",0,IF(ROUND(Speed_Reduction_40kph,0)&lt;8,0,IF(AND(ROUND(Speed_Reduction_40kph,0)&gt;=8,ROUND(Speed_Reduction_40kph,0)&lt;16),1,IF(AND(ROUND(Speed_Reduction_40kph,0)&gt;=16,ROUND(Speed_Reduction_40kph,0)&lt;36),2,3)))))</f>
        <v xml:space="preserve"> </v>
      </c>
      <c r="R5" s="1"/>
      <c r="S5" s="1"/>
    </row>
    <row r="6" spans="1:19">
      <c r="B6" s="66">
        <v>40</v>
      </c>
      <c r="C6" s="67"/>
      <c r="D6" s="28"/>
      <c r="E6" s="1"/>
      <c r="F6" s="1"/>
      <c r="G6" s="1"/>
      <c r="H6" s="1"/>
      <c r="I6" s="1"/>
      <c r="J6" s="22" t="s">
        <v>20</v>
      </c>
      <c r="K6" s="12"/>
      <c r="L6" s="56"/>
      <c r="M6" s="23"/>
      <c r="N6" s="56"/>
      <c r="O6" s="1"/>
      <c r="P6" s="29" t="s">
        <v>29</v>
      </c>
      <c r="Q6" s="29" t="str">
        <f>IF(AND(Q4=" ",Q5=" ")," ",SUM(Q4:Q5))</f>
        <v xml:space="preserve"> </v>
      </c>
      <c r="R6" s="1"/>
      <c r="S6" s="1"/>
    </row>
    <row r="7" spans="1:19">
      <c r="B7" s="60"/>
      <c r="C7" s="61"/>
      <c r="D7" s="60"/>
      <c r="E7" s="1"/>
      <c r="J7" s="24" t="s">
        <v>21</v>
      </c>
      <c r="K7" s="59"/>
      <c r="L7" s="57"/>
      <c r="M7" s="58"/>
      <c r="N7" s="57"/>
      <c r="O7" s="1"/>
      <c r="P7" s="1"/>
      <c r="Q7" s="1"/>
      <c r="R7" s="1"/>
      <c r="S7" s="1"/>
    </row>
    <row r="8" spans="1:19">
      <c r="B8" s="62"/>
      <c r="C8" s="63"/>
      <c r="D8" s="62"/>
      <c r="E8" s="1"/>
      <c r="K8" s="1"/>
      <c r="L8" s="1"/>
      <c r="M8" s="1"/>
      <c r="N8" s="1"/>
      <c r="O8" s="1"/>
      <c r="P8" s="1"/>
      <c r="Q8" s="1"/>
      <c r="R8" s="1"/>
      <c r="S8" s="1"/>
    </row>
    <row r="9" spans="1:19"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15" customHeight="1" thickBot="1">
      <c r="B10" s="74" t="s">
        <v>2</v>
      </c>
      <c r="C10" s="74" t="s">
        <v>6</v>
      </c>
      <c r="D10" s="74" t="s">
        <v>23</v>
      </c>
      <c r="E10" s="72" t="s">
        <v>10</v>
      </c>
      <c r="F10" s="73"/>
      <c r="G10" s="72" t="s">
        <v>31</v>
      </c>
      <c r="H10" s="73"/>
      <c r="I10" s="72" t="s">
        <v>11</v>
      </c>
      <c r="J10" s="73"/>
      <c r="K10" s="72" t="s">
        <v>12</v>
      </c>
      <c r="L10" s="76"/>
      <c r="M10" s="73"/>
      <c r="N10" s="72" t="s">
        <v>18</v>
      </c>
      <c r="O10" s="73"/>
      <c r="P10" s="68" t="s">
        <v>30</v>
      </c>
      <c r="Q10" s="68" t="s">
        <v>13</v>
      </c>
      <c r="R10" s="68" t="s">
        <v>14</v>
      </c>
      <c r="S10" s="70" t="s">
        <v>15</v>
      </c>
    </row>
    <row r="11" spans="1:19" ht="16.5" thickTop="1" thickBot="1">
      <c r="B11" s="75"/>
      <c r="C11" s="75"/>
      <c r="D11" s="75"/>
      <c r="E11" s="7" t="s">
        <v>7</v>
      </c>
      <c r="F11" s="8" t="s">
        <v>8</v>
      </c>
      <c r="G11" s="7" t="s">
        <v>7</v>
      </c>
      <c r="H11" s="8" t="s">
        <v>8</v>
      </c>
      <c r="I11" s="7" t="s">
        <v>7</v>
      </c>
      <c r="J11" s="8" t="s">
        <v>8</v>
      </c>
      <c r="K11" s="7" t="s">
        <v>9</v>
      </c>
      <c r="L11" s="30" t="s">
        <v>7</v>
      </c>
      <c r="M11" s="8" t="s">
        <v>8</v>
      </c>
      <c r="N11" s="7" t="s">
        <v>16</v>
      </c>
      <c r="O11" s="8" t="s">
        <v>17</v>
      </c>
      <c r="P11" s="69"/>
      <c r="Q11" s="69"/>
      <c r="R11" s="69"/>
      <c r="S11" s="71"/>
    </row>
    <row r="12" spans="1:19" ht="15.75" thickTop="1">
      <c r="B12" s="31"/>
      <c r="C12" s="47"/>
      <c r="D12" s="51"/>
      <c r="E12" s="32"/>
      <c r="F12" s="33"/>
      <c r="G12" s="32"/>
      <c r="H12" s="33"/>
      <c r="I12" s="32"/>
      <c r="J12" s="33"/>
      <c r="K12" s="32"/>
      <c r="L12" s="34"/>
      <c r="M12" s="33"/>
      <c r="N12" s="32"/>
      <c r="O12" s="33"/>
      <c r="P12" s="35"/>
      <c r="Q12" s="35"/>
      <c r="R12" s="35"/>
      <c r="S12" s="33"/>
    </row>
    <row r="13" spans="1:19">
      <c r="B13" s="36"/>
      <c r="C13" s="48"/>
      <c r="D13" s="52"/>
      <c r="E13" s="13"/>
      <c r="F13" s="37"/>
      <c r="G13" s="13"/>
      <c r="H13" s="37"/>
      <c r="I13" s="13"/>
      <c r="J13" s="37"/>
      <c r="K13" s="13"/>
      <c r="L13" s="38"/>
      <c r="M13" s="37"/>
      <c r="N13" s="13"/>
      <c r="O13" s="37"/>
      <c r="P13" s="39"/>
      <c r="Q13" s="39"/>
      <c r="R13" s="39"/>
      <c r="S13" s="37"/>
    </row>
    <row r="14" spans="1:19">
      <c r="B14" s="26"/>
      <c r="C14" s="49"/>
      <c r="D14" s="53"/>
      <c r="E14" s="10"/>
      <c r="F14" s="40"/>
      <c r="G14" s="10"/>
      <c r="H14" s="40"/>
      <c r="I14" s="10"/>
      <c r="J14" s="40"/>
      <c r="K14" s="10"/>
      <c r="L14" s="41"/>
      <c r="M14" s="40"/>
      <c r="N14" s="10"/>
      <c r="O14" s="40"/>
      <c r="P14" s="42"/>
      <c r="Q14" s="42"/>
      <c r="R14" s="42"/>
      <c r="S14" s="40"/>
    </row>
    <row r="15" spans="1:19">
      <c r="B15" s="36"/>
      <c r="C15" s="48"/>
      <c r="D15" s="52"/>
      <c r="E15" s="13"/>
      <c r="F15" s="37"/>
      <c r="G15" s="13"/>
      <c r="H15" s="37"/>
      <c r="I15" s="13"/>
      <c r="J15" s="37"/>
      <c r="K15" s="13"/>
      <c r="L15" s="38"/>
      <c r="M15" s="37"/>
      <c r="N15" s="13"/>
      <c r="O15" s="37"/>
      <c r="P15" s="39"/>
      <c r="Q15" s="39"/>
      <c r="R15" s="39"/>
      <c r="S15" s="37"/>
    </row>
    <row r="16" spans="1:19">
      <c r="B16" s="26"/>
      <c r="C16" s="49"/>
      <c r="D16" s="53"/>
      <c r="E16" s="10"/>
      <c r="F16" s="40"/>
      <c r="G16" s="10"/>
      <c r="H16" s="40"/>
      <c r="I16" s="10"/>
      <c r="J16" s="40"/>
      <c r="K16" s="10"/>
      <c r="L16" s="41"/>
      <c r="M16" s="40"/>
      <c r="N16" s="10"/>
      <c r="O16" s="40"/>
      <c r="P16" s="42"/>
      <c r="Q16" s="42"/>
      <c r="R16" s="42"/>
      <c r="S16" s="40"/>
    </row>
    <row r="17" spans="2:19">
      <c r="B17" s="36"/>
      <c r="C17" s="48"/>
      <c r="D17" s="52"/>
      <c r="E17" s="13"/>
      <c r="F17" s="37"/>
      <c r="G17" s="13"/>
      <c r="H17" s="37"/>
      <c r="I17" s="13"/>
      <c r="J17" s="37"/>
      <c r="K17" s="13"/>
      <c r="L17" s="38"/>
      <c r="M17" s="37"/>
      <c r="N17" s="13"/>
      <c r="O17" s="37"/>
      <c r="P17" s="39"/>
      <c r="Q17" s="39"/>
      <c r="R17" s="39"/>
      <c r="S17" s="37"/>
    </row>
    <row r="18" spans="2:19">
      <c r="B18" s="26"/>
      <c r="C18" s="49"/>
      <c r="D18" s="53"/>
      <c r="E18" s="10"/>
      <c r="F18" s="40"/>
      <c r="G18" s="10"/>
      <c r="H18" s="40"/>
      <c r="I18" s="10"/>
      <c r="J18" s="40"/>
      <c r="K18" s="10"/>
      <c r="L18" s="41"/>
      <c r="M18" s="40"/>
      <c r="N18" s="10"/>
      <c r="O18" s="40"/>
      <c r="P18" s="42"/>
      <c r="Q18" s="42"/>
      <c r="R18" s="42"/>
      <c r="S18" s="40"/>
    </row>
    <row r="19" spans="2:19">
      <c r="B19" s="36"/>
      <c r="C19" s="48"/>
      <c r="D19" s="52"/>
      <c r="E19" s="13"/>
      <c r="F19" s="37"/>
      <c r="G19" s="13"/>
      <c r="H19" s="37"/>
      <c r="I19" s="13"/>
      <c r="J19" s="37"/>
      <c r="K19" s="13"/>
      <c r="L19" s="38"/>
      <c r="M19" s="37"/>
      <c r="N19" s="13"/>
      <c r="O19" s="37"/>
      <c r="P19" s="39"/>
      <c r="Q19" s="39"/>
      <c r="R19" s="39"/>
      <c r="S19" s="37"/>
    </row>
    <row r="20" spans="2:19">
      <c r="B20" s="26"/>
      <c r="C20" s="49"/>
      <c r="D20" s="53"/>
      <c r="E20" s="10"/>
      <c r="F20" s="40"/>
      <c r="G20" s="10"/>
      <c r="H20" s="40"/>
      <c r="I20" s="10"/>
      <c r="J20" s="40"/>
      <c r="K20" s="10"/>
      <c r="L20" s="41"/>
      <c r="M20" s="40"/>
      <c r="N20" s="10"/>
      <c r="O20" s="40"/>
      <c r="P20" s="42"/>
      <c r="Q20" s="42"/>
      <c r="R20" s="42"/>
      <c r="S20" s="40"/>
    </row>
    <row r="21" spans="2:19">
      <c r="B21" s="36"/>
      <c r="C21" s="48"/>
      <c r="D21" s="52"/>
      <c r="E21" s="13"/>
      <c r="F21" s="37"/>
      <c r="G21" s="13"/>
      <c r="H21" s="37"/>
      <c r="I21" s="13"/>
      <c r="J21" s="37"/>
      <c r="K21" s="13"/>
      <c r="L21" s="38"/>
      <c r="M21" s="37"/>
      <c r="N21" s="13"/>
      <c r="O21" s="37"/>
      <c r="P21" s="39"/>
      <c r="Q21" s="39"/>
      <c r="R21" s="39"/>
      <c r="S21" s="37"/>
    </row>
    <row r="22" spans="2:19">
      <c r="B22" s="26"/>
      <c r="C22" s="49"/>
      <c r="D22" s="53"/>
      <c r="E22" s="10"/>
      <c r="F22" s="40"/>
      <c r="G22" s="10"/>
      <c r="H22" s="40"/>
      <c r="I22" s="10"/>
      <c r="J22" s="40"/>
      <c r="K22" s="10"/>
      <c r="L22" s="41"/>
      <c r="M22" s="40"/>
      <c r="N22" s="10"/>
      <c r="O22" s="40"/>
      <c r="P22" s="42"/>
      <c r="Q22" s="42"/>
      <c r="R22" s="42"/>
      <c r="S22" s="40"/>
    </row>
    <row r="23" spans="2:19">
      <c r="B23" s="36"/>
      <c r="C23" s="48"/>
      <c r="D23" s="52"/>
      <c r="E23" s="13"/>
      <c r="F23" s="37"/>
      <c r="G23" s="13"/>
      <c r="H23" s="37"/>
      <c r="I23" s="13"/>
      <c r="J23" s="37"/>
      <c r="K23" s="13"/>
      <c r="L23" s="38"/>
      <c r="M23" s="37"/>
      <c r="N23" s="13"/>
      <c r="O23" s="37"/>
      <c r="P23" s="39"/>
      <c r="Q23" s="39"/>
      <c r="R23" s="39"/>
      <c r="S23" s="37"/>
    </row>
    <row r="24" spans="2:19">
      <c r="B24" s="26"/>
      <c r="C24" s="49"/>
      <c r="D24" s="53"/>
      <c r="E24" s="10"/>
      <c r="F24" s="40"/>
      <c r="G24" s="10"/>
      <c r="H24" s="40"/>
      <c r="I24" s="10"/>
      <c r="J24" s="40"/>
      <c r="K24" s="10"/>
      <c r="L24" s="41"/>
      <c r="M24" s="40"/>
      <c r="N24" s="10"/>
      <c r="O24" s="40"/>
      <c r="P24" s="42"/>
      <c r="Q24" s="42"/>
      <c r="R24" s="42"/>
      <c r="S24" s="40"/>
    </row>
    <row r="25" spans="2:19">
      <c r="B25" s="36"/>
      <c r="C25" s="48"/>
      <c r="D25" s="52"/>
      <c r="E25" s="13"/>
      <c r="F25" s="37"/>
      <c r="G25" s="13"/>
      <c r="H25" s="37"/>
      <c r="I25" s="13"/>
      <c r="J25" s="37"/>
      <c r="K25" s="13"/>
      <c r="L25" s="38"/>
      <c r="M25" s="37"/>
      <c r="N25" s="13"/>
      <c r="O25" s="37"/>
      <c r="P25" s="39"/>
      <c r="Q25" s="39"/>
      <c r="R25" s="39"/>
      <c r="S25" s="37"/>
    </row>
    <row r="26" spans="2:19">
      <c r="B26" s="26"/>
      <c r="C26" s="49"/>
      <c r="D26" s="53"/>
      <c r="E26" s="10"/>
      <c r="F26" s="40"/>
      <c r="G26" s="10"/>
      <c r="H26" s="40"/>
      <c r="I26" s="10"/>
      <c r="J26" s="40"/>
      <c r="K26" s="10"/>
      <c r="L26" s="41"/>
      <c r="M26" s="40"/>
      <c r="N26" s="10"/>
      <c r="O26" s="40"/>
      <c r="P26" s="42"/>
      <c r="Q26" s="42"/>
      <c r="R26" s="42"/>
      <c r="S26" s="40"/>
    </row>
    <row r="27" spans="2:19">
      <c r="B27" s="36"/>
      <c r="C27" s="48"/>
      <c r="D27" s="52"/>
      <c r="E27" s="13"/>
      <c r="F27" s="37"/>
      <c r="G27" s="13"/>
      <c r="H27" s="37"/>
      <c r="I27" s="13"/>
      <c r="J27" s="37"/>
      <c r="K27" s="13"/>
      <c r="L27" s="38"/>
      <c r="M27" s="37"/>
      <c r="N27" s="13"/>
      <c r="O27" s="37"/>
      <c r="P27" s="39"/>
      <c r="Q27" s="39"/>
      <c r="R27" s="39"/>
      <c r="S27" s="37"/>
    </row>
    <row r="28" spans="2:19">
      <c r="B28" s="26"/>
      <c r="C28" s="49"/>
      <c r="D28" s="53"/>
      <c r="E28" s="10"/>
      <c r="F28" s="40"/>
      <c r="G28" s="10"/>
      <c r="H28" s="40"/>
      <c r="I28" s="10"/>
      <c r="J28" s="40"/>
      <c r="K28" s="10"/>
      <c r="L28" s="41"/>
      <c r="M28" s="40"/>
      <c r="N28" s="10"/>
      <c r="O28" s="40"/>
      <c r="P28" s="42"/>
      <c r="Q28" s="42"/>
      <c r="R28" s="42"/>
      <c r="S28" s="40"/>
    </row>
    <row r="29" spans="2:19">
      <c r="B29" s="36"/>
      <c r="C29" s="48"/>
      <c r="D29" s="52"/>
      <c r="E29" s="13"/>
      <c r="F29" s="37"/>
      <c r="G29" s="13"/>
      <c r="H29" s="37"/>
      <c r="I29" s="13"/>
      <c r="J29" s="37"/>
      <c r="K29" s="13"/>
      <c r="L29" s="38"/>
      <c r="M29" s="37"/>
      <c r="N29" s="13"/>
      <c r="O29" s="37"/>
      <c r="P29" s="39"/>
      <c r="Q29" s="39"/>
      <c r="R29" s="39"/>
      <c r="S29" s="37"/>
    </row>
    <row r="30" spans="2:19">
      <c r="B30" s="26"/>
      <c r="C30" s="49"/>
      <c r="D30" s="53"/>
      <c r="E30" s="10"/>
      <c r="F30" s="40"/>
      <c r="G30" s="10"/>
      <c r="H30" s="40"/>
      <c r="I30" s="10"/>
      <c r="J30" s="40"/>
      <c r="K30" s="10"/>
      <c r="L30" s="41"/>
      <c r="M30" s="40"/>
      <c r="N30" s="10"/>
      <c r="O30" s="40"/>
      <c r="P30" s="42"/>
      <c r="Q30" s="42"/>
      <c r="R30" s="42"/>
      <c r="S30" s="40"/>
    </row>
    <row r="31" spans="2:19">
      <c r="B31" s="36"/>
      <c r="C31" s="48"/>
      <c r="D31" s="52"/>
      <c r="E31" s="13"/>
      <c r="F31" s="37"/>
      <c r="G31" s="13"/>
      <c r="H31" s="37"/>
      <c r="I31" s="13"/>
      <c r="J31" s="37"/>
      <c r="K31" s="13"/>
      <c r="L31" s="38"/>
      <c r="M31" s="37"/>
      <c r="N31" s="13"/>
      <c r="O31" s="37"/>
      <c r="P31" s="39"/>
      <c r="Q31" s="39"/>
      <c r="R31" s="39"/>
      <c r="S31" s="37"/>
    </row>
    <row r="32" spans="2:19">
      <c r="B32" s="26"/>
      <c r="C32" s="49"/>
      <c r="D32" s="53"/>
      <c r="E32" s="10"/>
      <c r="F32" s="40"/>
      <c r="G32" s="10"/>
      <c r="H32" s="40"/>
      <c r="I32" s="10"/>
      <c r="J32" s="40"/>
      <c r="K32" s="10"/>
      <c r="L32" s="41"/>
      <c r="M32" s="40"/>
      <c r="N32" s="10"/>
      <c r="O32" s="40"/>
      <c r="P32" s="42"/>
      <c r="Q32" s="42"/>
      <c r="R32" s="42"/>
      <c r="S32" s="40"/>
    </row>
    <row r="33" spans="2:19">
      <c r="B33" s="36"/>
      <c r="C33" s="48"/>
      <c r="D33" s="52"/>
      <c r="E33" s="13"/>
      <c r="F33" s="37"/>
      <c r="G33" s="13"/>
      <c r="H33" s="37"/>
      <c r="I33" s="13"/>
      <c r="J33" s="37"/>
      <c r="K33" s="13"/>
      <c r="L33" s="38"/>
      <c r="M33" s="37"/>
      <c r="N33" s="13"/>
      <c r="O33" s="37"/>
      <c r="P33" s="39"/>
      <c r="Q33" s="39"/>
      <c r="R33" s="39"/>
      <c r="S33" s="37"/>
    </row>
    <row r="34" spans="2:19">
      <c r="B34" s="26"/>
      <c r="C34" s="49"/>
      <c r="D34" s="53"/>
      <c r="E34" s="10"/>
      <c r="F34" s="40"/>
      <c r="G34" s="10"/>
      <c r="H34" s="40"/>
      <c r="I34" s="10"/>
      <c r="J34" s="40"/>
      <c r="K34" s="10"/>
      <c r="L34" s="41"/>
      <c r="M34" s="40"/>
      <c r="N34" s="10"/>
      <c r="O34" s="40"/>
      <c r="P34" s="42"/>
      <c r="Q34" s="42"/>
      <c r="R34" s="42"/>
      <c r="S34" s="40"/>
    </row>
    <row r="35" spans="2:19">
      <c r="B35" s="36"/>
      <c r="C35" s="48"/>
      <c r="D35" s="52"/>
      <c r="E35" s="13"/>
      <c r="F35" s="37"/>
      <c r="G35" s="13"/>
      <c r="H35" s="37"/>
      <c r="I35" s="13"/>
      <c r="J35" s="37"/>
      <c r="K35" s="13"/>
      <c r="L35" s="38"/>
      <c r="M35" s="37"/>
      <c r="N35" s="13"/>
      <c r="O35" s="37"/>
      <c r="P35" s="39"/>
      <c r="Q35" s="39"/>
      <c r="R35" s="39"/>
      <c r="S35" s="37"/>
    </row>
    <row r="36" spans="2:19">
      <c r="B36" s="26"/>
      <c r="C36" s="49"/>
      <c r="D36" s="53"/>
      <c r="E36" s="10"/>
      <c r="F36" s="40"/>
      <c r="G36" s="10"/>
      <c r="H36" s="40"/>
      <c r="I36" s="10"/>
      <c r="J36" s="40"/>
      <c r="K36" s="10"/>
      <c r="L36" s="41"/>
      <c r="M36" s="40"/>
      <c r="N36" s="10"/>
      <c r="O36" s="40"/>
      <c r="P36" s="42"/>
      <c r="Q36" s="42"/>
      <c r="R36" s="42"/>
      <c r="S36" s="40"/>
    </row>
    <row r="37" spans="2:19">
      <c r="B37" s="36"/>
      <c r="C37" s="48"/>
      <c r="D37" s="52"/>
      <c r="E37" s="13"/>
      <c r="F37" s="37"/>
      <c r="G37" s="13"/>
      <c r="H37" s="37"/>
      <c r="I37" s="13"/>
      <c r="J37" s="37"/>
      <c r="K37" s="13"/>
      <c r="L37" s="38"/>
      <c r="M37" s="37"/>
      <c r="N37" s="13"/>
      <c r="O37" s="37"/>
      <c r="P37" s="39"/>
      <c r="Q37" s="39"/>
      <c r="R37" s="39"/>
      <c r="S37" s="37"/>
    </row>
    <row r="38" spans="2:19">
      <c r="B38" s="26"/>
      <c r="C38" s="49"/>
      <c r="D38" s="53"/>
      <c r="E38" s="10"/>
      <c r="F38" s="40"/>
      <c r="G38" s="10"/>
      <c r="H38" s="40"/>
      <c r="I38" s="10"/>
      <c r="J38" s="40"/>
      <c r="K38" s="10"/>
      <c r="L38" s="41"/>
      <c r="M38" s="40"/>
      <c r="N38" s="10"/>
      <c r="O38" s="40"/>
      <c r="P38" s="42"/>
      <c r="Q38" s="42"/>
      <c r="R38" s="42"/>
      <c r="S38" s="40"/>
    </row>
    <row r="39" spans="2:19">
      <c r="B39" s="36"/>
      <c r="C39" s="48"/>
      <c r="D39" s="52"/>
      <c r="E39" s="13"/>
      <c r="F39" s="37"/>
      <c r="G39" s="13"/>
      <c r="H39" s="37"/>
      <c r="I39" s="13"/>
      <c r="J39" s="37"/>
      <c r="K39" s="13"/>
      <c r="L39" s="38"/>
      <c r="M39" s="37"/>
      <c r="N39" s="13"/>
      <c r="O39" s="37"/>
      <c r="P39" s="39"/>
      <c r="Q39" s="39"/>
      <c r="R39" s="39"/>
      <c r="S39" s="37"/>
    </row>
    <row r="40" spans="2:19">
      <c r="B40" s="26"/>
      <c r="C40" s="49"/>
      <c r="D40" s="53"/>
      <c r="E40" s="10"/>
      <c r="F40" s="40"/>
      <c r="G40" s="10"/>
      <c r="H40" s="40"/>
      <c r="I40" s="10"/>
      <c r="J40" s="40"/>
      <c r="K40" s="10"/>
      <c r="L40" s="41"/>
      <c r="M40" s="40"/>
      <c r="N40" s="10"/>
      <c r="O40" s="40"/>
      <c r="P40" s="42"/>
      <c r="Q40" s="42"/>
      <c r="R40" s="42"/>
      <c r="S40" s="40"/>
    </row>
    <row r="41" spans="2:19">
      <c r="B41" s="36"/>
      <c r="C41" s="48"/>
      <c r="D41" s="52"/>
      <c r="E41" s="13"/>
      <c r="F41" s="37"/>
      <c r="G41" s="13"/>
      <c r="H41" s="37"/>
      <c r="I41" s="13"/>
      <c r="J41" s="37"/>
      <c r="K41" s="13"/>
      <c r="L41" s="38"/>
      <c r="M41" s="37"/>
      <c r="N41" s="13"/>
      <c r="O41" s="37"/>
      <c r="P41" s="39"/>
      <c r="Q41" s="39"/>
      <c r="R41" s="39"/>
      <c r="S41" s="37"/>
    </row>
    <row r="42" spans="2:19">
      <c r="B42" s="26"/>
      <c r="C42" s="49"/>
      <c r="D42" s="53"/>
      <c r="E42" s="10"/>
      <c r="F42" s="40"/>
      <c r="G42" s="10"/>
      <c r="H42" s="40"/>
      <c r="I42" s="10"/>
      <c r="J42" s="40"/>
      <c r="K42" s="10"/>
      <c r="L42" s="41"/>
      <c r="M42" s="40"/>
      <c r="N42" s="10"/>
      <c r="O42" s="40"/>
      <c r="P42" s="42"/>
      <c r="Q42" s="42"/>
      <c r="R42" s="42"/>
      <c r="S42" s="40"/>
    </row>
    <row r="43" spans="2:19">
      <c r="B43" s="36"/>
      <c r="C43" s="48"/>
      <c r="D43" s="52"/>
      <c r="E43" s="13"/>
      <c r="F43" s="37"/>
      <c r="G43" s="13"/>
      <c r="H43" s="37"/>
      <c r="I43" s="13"/>
      <c r="J43" s="37"/>
      <c r="K43" s="13"/>
      <c r="L43" s="38"/>
      <c r="M43" s="37"/>
      <c r="N43" s="13"/>
      <c r="O43" s="37"/>
      <c r="P43" s="39"/>
      <c r="Q43" s="39"/>
      <c r="R43" s="39"/>
      <c r="S43" s="37"/>
    </row>
    <row r="44" spans="2:19">
      <c r="B44" s="26"/>
      <c r="C44" s="49"/>
      <c r="D44" s="53"/>
      <c r="E44" s="10"/>
      <c r="F44" s="40"/>
      <c r="G44" s="10"/>
      <c r="H44" s="40"/>
      <c r="I44" s="10"/>
      <c r="J44" s="40"/>
      <c r="K44" s="10"/>
      <c r="L44" s="41"/>
      <c r="M44" s="40"/>
      <c r="N44" s="10"/>
      <c r="O44" s="40"/>
      <c r="P44" s="42"/>
      <c r="Q44" s="42"/>
      <c r="R44" s="42"/>
      <c r="S44" s="40"/>
    </row>
    <row r="45" spans="2:19">
      <c r="B45" s="36"/>
      <c r="C45" s="48"/>
      <c r="D45" s="52"/>
      <c r="E45" s="13"/>
      <c r="F45" s="37"/>
      <c r="G45" s="13"/>
      <c r="H45" s="37"/>
      <c r="I45" s="13"/>
      <c r="J45" s="37"/>
      <c r="K45" s="13"/>
      <c r="L45" s="38"/>
      <c r="M45" s="37"/>
      <c r="N45" s="13"/>
      <c r="O45" s="37"/>
      <c r="P45" s="39"/>
      <c r="Q45" s="39"/>
      <c r="R45" s="39"/>
      <c r="S45" s="37"/>
    </row>
    <row r="46" spans="2:19">
      <c r="B46" s="26"/>
      <c r="C46" s="49"/>
      <c r="D46" s="53"/>
      <c r="E46" s="10"/>
      <c r="F46" s="40"/>
      <c r="G46" s="10"/>
      <c r="H46" s="40"/>
      <c r="I46" s="10"/>
      <c r="J46" s="40"/>
      <c r="K46" s="10"/>
      <c r="L46" s="41"/>
      <c r="M46" s="40"/>
      <c r="N46" s="10"/>
      <c r="O46" s="40"/>
      <c r="P46" s="42"/>
      <c r="Q46" s="42"/>
      <c r="R46" s="42"/>
      <c r="S46" s="40"/>
    </row>
    <row r="47" spans="2:19">
      <c r="B47" s="36"/>
      <c r="C47" s="48"/>
      <c r="D47" s="52"/>
      <c r="E47" s="13"/>
      <c r="F47" s="37"/>
      <c r="G47" s="13"/>
      <c r="H47" s="37"/>
      <c r="I47" s="13"/>
      <c r="J47" s="37"/>
      <c r="K47" s="13"/>
      <c r="L47" s="38"/>
      <c r="M47" s="37"/>
      <c r="N47" s="13"/>
      <c r="O47" s="37"/>
      <c r="P47" s="39"/>
      <c r="Q47" s="39"/>
      <c r="R47" s="39"/>
      <c r="S47" s="37"/>
    </row>
    <row r="48" spans="2:19">
      <c r="B48" s="26"/>
      <c r="C48" s="49"/>
      <c r="D48" s="53"/>
      <c r="E48" s="10"/>
      <c r="F48" s="40"/>
      <c r="G48" s="10"/>
      <c r="H48" s="40"/>
      <c r="I48" s="10"/>
      <c r="J48" s="40"/>
      <c r="K48" s="10"/>
      <c r="L48" s="41"/>
      <c r="M48" s="40"/>
      <c r="N48" s="10"/>
      <c r="O48" s="40"/>
      <c r="P48" s="42"/>
      <c r="Q48" s="42"/>
      <c r="R48" s="42"/>
      <c r="S48" s="40"/>
    </row>
    <row r="49" spans="2:19">
      <c r="B49" s="36"/>
      <c r="C49" s="48"/>
      <c r="D49" s="52"/>
      <c r="E49" s="13"/>
      <c r="F49" s="37"/>
      <c r="G49" s="13"/>
      <c r="H49" s="37"/>
      <c r="I49" s="13"/>
      <c r="J49" s="37"/>
      <c r="K49" s="13"/>
      <c r="L49" s="38"/>
      <c r="M49" s="37"/>
      <c r="N49" s="13"/>
      <c r="O49" s="37"/>
      <c r="P49" s="39"/>
      <c r="Q49" s="39"/>
      <c r="R49" s="39"/>
      <c r="S49" s="37"/>
    </row>
    <row r="50" spans="2:19">
      <c r="B50" s="26"/>
      <c r="C50" s="49"/>
      <c r="D50" s="53"/>
      <c r="E50" s="10"/>
      <c r="F50" s="40"/>
      <c r="G50" s="10"/>
      <c r="H50" s="40"/>
      <c r="I50" s="10"/>
      <c r="J50" s="40"/>
      <c r="K50" s="10"/>
      <c r="L50" s="41"/>
      <c r="M50" s="40"/>
      <c r="N50" s="10"/>
      <c r="O50" s="40"/>
      <c r="P50" s="42"/>
      <c r="Q50" s="42"/>
      <c r="R50" s="42"/>
      <c r="S50" s="40"/>
    </row>
    <row r="51" spans="2:19">
      <c r="B51" s="36"/>
      <c r="C51" s="48"/>
      <c r="D51" s="52"/>
      <c r="E51" s="13"/>
      <c r="F51" s="37"/>
      <c r="G51" s="13"/>
      <c r="H51" s="37"/>
      <c r="I51" s="13"/>
      <c r="J51" s="37"/>
      <c r="K51" s="13"/>
      <c r="L51" s="38"/>
      <c r="M51" s="37"/>
      <c r="N51" s="13"/>
      <c r="O51" s="37"/>
      <c r="P51" s="39"/>
      <c r="Q51" s="39"/>
      <c r="R51" s="39"/>
      <c r="S51" s="37"/>
    </row>
    <row r="52" spans="2:19">
      <c r="B52" s="26"/>
      <c r="C52" s="49"/>
      <c r="D52" s="53"/>
      <c r="E52" s="10"/>
      <c r="F52" s="40"/>
      <c r="G52" s="10"/>
      <c r="H52" s="40"/>
      <c r="I52" s="10"/>
      <c r="J52" s="40"/>
      <c r="K52" s="10"/>
      <c r="L52" s="41"/>
      <c r="M52" s="40"/>
      <c r="N52" s="10"/>
      <c r="O52" s="40"/>
      <c r="P52" s="42"/>
      <c r="Q52" s="42"/>
      <c r="R52" s="42"/>
      <c r="S52" s="40"/>
    </row>
    <row r="53" spans="2:19">
      <c r="B53" s="36"/>
      <c r="C53" s="48"/>
      <c r="D53" s="52"/>
      <c r="E53" s="13"/>
      <c r="F53" s="37"/>
      <c r="G53" s="13"/>
      <c r="H53" s="37"/>
      <c r="I53" s="13"/>
      <c r="J53" s="37"/>
      <c r="K53" s="13"/>
      <c r="L53" s="38"/>
      <c r="M53" s="37"/>
      <c r="N53" s="13"/>
      <c r="O53" s="37"/>
      <c r="P53" s="39"/>
      <c r="Q53" s="39"/>
      <c r="R53" s="39"/>
      <c r="S53" s="37"/>
    </row>
    <row r="54" spans="2:19">
      <c r="B54" s="26"/>
      <c r="C54" s="49"/>
      <c r="D54" s="53"/>
      <c r="E54" s="10"/>
      <c r="F54" s="40"/>
      <c r="G54" s="10"/>
      <c r="H54" s="40"/>
      <c r="I54" s="10"/>
      <c r="J54" s="40"/>
      <c r="K54" s="10"/>
      <c r="L54" s="41"/>
      <c r="M54" s="40"/>
      <c r="N54" s="10"/>
      <c r="O54" s="40"/>
      <c r="P54" s="42"/>
      <c r="Q54" s="42"/>
      <c r="R54" s="42"/>
      <c r="S54" s="40"/>
    </row>
    <row r="55" spans="2:19">
      <c r="B55" s="36"/>
      <c r="C55" s="48"/>
      <c r="D55" s="52"/>
      <c r="E55" s="13"/>
      <c r="F55" s="37"/>
      <c r="G55" s="13"/>
      <c r="H55" s="37"/>
      <c r="I55" s="13"/>
      <c r="J55" s="37"/>
      <c r="K55" s="13"/>
      <c r="L55" s="38"/>
      <c r="M55" s="37"/>
      <c r="N55" s="13"/>
      <c r="O55" s="37"/>
      <c r="P55" s="39"/>
      <c r="Q55" s="39"/>
      <c r="R55" s="39"/>
      <c r="S55" s="37"/>
    </row>
    <row r="56" spans="2:19">
      <c r="B56" s="26"/>
      <c r="C56" s="49"/>
      <c r="D56" s="53"/>
      <c r="E56" s="10"/>
      <c r="F56" s="40"/>
      <c r="G56" s="10"/>
      <c r="H56" s="40"/>
      <c r="I56" s="10"/>
      <c r="J56" s="40"/>
      <c r="K56" s="10"/>
      <c r="L56" s="41"/>
      <c r="M56" s="40"/>
      <c r="N56" s="10"/>
      <c r="O56" s="40"/>
      <c r="P56" s="42"/>
      <c r="Q56" s="42"/>
      <c r="R56" s="42"/>
      <c r="S56" s="40"/>
    </row>
    <row r="57" spans="2:19">
      <c r="B57" s="36"/>
      <c r="C57" s="48"/>
      <c r="D57" s="52"/>
      <c r="E57" s="13"/>
      <c r="F57" s="37"/>
      <c r="G57" s="13"/>
      <c r="H57" s="37"/>
      <c r="I57" s="13"/>
      <c r="J57" s="37"/>
      <c r="K57" s="13"/>
      <c r="L57" s="38"/>
      <c r="M57" s="37"/>
      <c r="N57" s="13"/>
      <c r="O57" s="37"/>
      <c r="P57" s="39"/>
      <c r="Q57" s="39"/>
      <c r="R57" s="39"/>
      <c r="S57" s="37"/>
    </row>
    <row r="58" spans="2:19">
      <c r="B58" s="26"/>
      <c r="C58" s="49"/>
      <c r="D58" s="53"/>
      <c r="E58" s="10"/>
      <c r="F58" s="40"/>
      <c r="G58" s="10"/>
      <c r="H58" s="40"/>
      <c r="I58" s="10"/>
      <c r="J58" s="40"/>
      <c r="K58" s="10"/>
      <c r="L58" s="41"/>
      <c r="M58" s="40"/>
      <c r="N58" s="10"/>
      <c r="O58" s="40"/>
      <c r="P58" s="42"/>
      <c r="Q58" s="42"/>
      <c r="R58" s="42"/>
      <c r="S58" s="40"/>
    </row>
    <row r="59" spans="2:19">
      <c r="B59" s="36"/>
      <c r="C59" s="48"/>
      <c r="D59" s="52"/>
      <c r="E59" s="13"/>
      <c r="F59" s="37"/>
      <c r="G59" s="13"/>
      <c r="H59" s="37"/>
      <c r="I59" s="13"/>
      <c r="J59" s="37"/>
      <c r="K59" s="13"/>
      <c r="L59" s="38"/>
      <c r="M59" s="37"/>
      <c r="N59" s="13"/>
      <c r="O59" s="37"/>
      <c r="P59" s="39"/>
      <c r="Q59" s="39"/>
      <c r="R59" s="39"/>
      <c r="S59" s="37"/>
    </row>
    <row r="60" spans="2:19">
      <c r="B60" s="26"/>
      <c r="C60" s="49"/>
      <c r="D60" s="53"/>
      <c r="E60" s="10"/>
      <c r="F60" s="40"/>
      <c r="G60" s="10"/>
      <c r="H60" s="40"/>
      <c r="I60" s="10"/>
      <c r="J60" s="40"/>
      <c r="K60" s="10"/>
      <c r="L60" s="41"/>
      <c r="M60" s="40"/>
      <c r="N60" s="10"/>
      <c r="O60" s="40"/>
      <c r="P60" s="42"/>
      <c r="Q60" s="42"/>
      <c r="R60" s="42"/>
      <c r="S60" s="40"/>
    </row>
    <row r="61" spans="2:19">
      <c r="B61" s="36"/>
      <c r="C61" s="48"/>
      <c r="D61" s="52"/>
      <c r="E61" s="13"/>
      <c r="F61" s="37"/>
      <c r="G61" s="13"/>
      <c r="H61" s="37"/>
      <c r="I61" s="13"/>
      <c r="J61" s="37"/>
      <c r="K61" s="13"/>
      <c r="L61" s="38"/>
      <c r="M61" s="37"/>
      <c r="N61" s="13"/>
      <c r="O61" s="37"/>
      <c r="P61" s="39"/>
      <c r="Q61" s="39"/>
      <c r="R61" s="39"/>
      <c r="S61" s="37"/>
    </row>
    <row r="62" spans="2:19">
      <c r="B62" s="26"/>
      <c r="C62" s="49"/>
      <c r="D62" s="53"/>
      <c r="E62" s="10"/>
      <c r="F62" s="40"/>
      <c r="G62" s="10"/>
      <c r="H62" s="40"/>
      <c r="I62" s="10"/>
      <c r="J62" s="40"/>
      <c r="K62" s="10"/>
      <c r="L62" s="41"/>
      <c r="M62" s="40"/>
      <c r="N62" s="10"/>
      <c r="O62" s="40"/>
      <c r="P62" s="42"/>
      <c r="Q62" s="42"/>
      <c r="R62" s="42"/>
      <c r="S62" s="40"/>
    </row>
    <row r="63" spans="2:19">
      <c r="B63" s="36"/>
      <c r="C63" s="48"/>
      <c r="D63" s="52"/>
      <c r="E63" s="13"/>
      <c r="F63" s="37"/>
      <c r="G63" s="13"/>
      <c r="H63" s="37"/>
      <c r="I63" s="13"/>
      <c r="J63" s="37"/>
      <c r="K63" s="13"/>
      <c r="L63" s="38"/>
      <c r="M63" s="37"/>
      <c r="N63" s="13"/>
      <c r="O63" s="37"/>
      <c r="P63" s="39"/>
      <c r="Q63" s="39"/>
      <c r="R63" s="39"/>
      <c r="S63" s="37"/>
    </row>
    <row r="64" spans="2:19">
      <c r="B64" s="26"/>
      <c r="C64" s="49"/>
      <c r="D64" s="53"/>
      <c r="E64" s="10"/>
      <c r="F64" s="40"/>
      <c r="G64" s="10"/>
      <c r="H64" s="40"/>
      <c r="I64" s="10"/>
      <c r="J64" s="40"/>
      <c r="K64" s="10"/>
      <c r="L64" s="41"/>
      <c r="M64" s="40"/>
      <c r="N64" s="10"/>
      <c r="O64" s="40"/>
      <c r="P64" s="42"/>
      <c r="Q64" s="42"/>
      <c r="R64" s="42"/>
      <c r="S64" s="40"/>
    </row>
    <row r="65" spans="2:19">
      <c r="B65" s="36"/>
      <c r="C65" s="48"/>
      <c r="D65" s="52"/>
      <c r="E65" s="13"/>
      <c r="F65" s="37"/>
      <c r="G65" s="13"/>
      <c r="H65" s="37"/>
      <c r="I65" s="13"/>
      <c r="J65" s="37"/>
      <c r="K65" s="13"/>
      <c r="L65" s="38"/>
      <c r="M65" s="37"/>
      <c r="N65" s="13"/>
      <c r="O65" s="37"/>
      <c r="P65" s="39"/>
      <c r="Q65" s="39"/>
      <c r="R65" s="39"/>
      <c r="S65" s="37"/>
    </row>
    <row r="66" spans="2:19">
      <c r="B66" s="26"/>
      <c r="C66" s="49"/>
      <c r="D66" s="53"/>
      <c r="E66" s="10"/>
      <c r="F66" s="40"/>
      <c r="G66" s="10"/>
      <c r="H66" s="40"/>
      <c r="I66" s="10"/>
      <c r="J66" s="40"/>
      <c r="K66" s="10"/>
      <c r="L66" s="41"/>
      <c r="M66" s="40"/>
      <c r="N66" s="10"/>
      <c r="O66" s="40"/>
      <c r="P66" s="42"/>
      <c r="Q66" s="42"/>
      <c r="R66" s="42"/>
      <c r="S66" s="40"/>
    </row>
    <row r="67" spans="2:19">
      <c r="B67" s="36"/>
      <c r="C67" s="48"/>
      <c r="D67" s="52"/>
      <c r="E67" s="13"/>
      <c r="F67" s="37"/>
      <c r="G67" s="13"/>
      <c r="H67" s="37"/>
      <c r="I67" s="13"/>
      <c r="J67" s="37"/>
      <c r="K67" s="13"/>
      <c r="L67" s="38"/>
      <c r="M67" s="37"/>
      <c r="N67" s="13"/>
      <c r="O67" s="37"/>
      <c r="P67" s="39"/>
      <c r="Q67" s="39"/>
      <c r="R67" s="39"/>
      <c r="S67" s="37"/>
    </row>
    <row r="68" spans="2:19">
      <c r="B68" s="26"/>
      <c r="C68" s="49"/>
      <c r="D68" s="53"/>
      <c r="E68" s="10"/>
      <c r="F68" s="40"/>
      <c r="G68" s="10"/>
      <c r="H68" s="40"/>
      <c r="I68" s="10"/>
      <c r="J68" s="40"/>
      <c r="K68" s="10"/>
      <c r="L68" s="41"/>
      <c r="M68" s="40"/>
      <c r="N68" s="10"/>
      <c r="O68" s="40"/>
      <c r="P68" s="42"/>
      <c r="Q68" s="42"/>
      <c r="R68" s="42"/>
      <c r="S68" s="40"/>
    </row>
    <row r="69" spans="2:19">
      <c r="B69" s="36"/>
      <c r="C69" s="48"/>
      <c r="D69" s="52"/>
      <c r="E69" s="13"/>
      <c r="F69" s="37"/>
      <c r="G69" s="13"/>
      <c r="H69" s="37"/>
      <c r="I69" s="13"/>
      <c r="J69" s="37"/>
      <c r="K69" s="13"/>
      <c r="L69" s="38"/>
      <c r="M69" s="37"/>
      <c r="N69" s="13"/>
      <c r="O69" s="37"/>
      <c r="P69" s="39"/>
      <c r="Q69" s="39"/>
      <c r="R69" s="39"/>
      <c r="S69" s="37"/>
    </row>
    <row r="70" spans="2:19">
      <c r="B70" s="26"/>
      <c r="C70" s="49"/>
      <c r="D70" s="53"/>
      <c r="E70" s="10"/>
      <c r="F70" s="40"/>
      <c r="G70" s="10"/>
      <c r="H70" s="40"/>
      <c r="I70" s="10"/>
      <c r="J70" s="40"/>
      <c r="K70" s="10"/>
      <c r="L70" s="41"/>
      <c r="M70" s="40"/>
      <c r="N70" s="10"/>
      <c r="O70" s="40"/>
      <c r="P70" s="42"/>
      <c r="Q70" s="42"/>
      <c r="R70" s="42"/>
      <c r="S70" s="40"/>
    </row>
    <row r="71" spans="2:19">
      <c r="B71" s="36"/>
      <c r="C71" s="48"/>
      <c r="D71" s="52"/>
      <c r="E71" s="13"/>
      <c r="F71" s="37"/>
      <c r="G71" s="13"/>
      <c r="H71" s="37"/>
      <c r="I71" s="13"/>
      <c r="J71" s="37"/>
      <c r="K71" s="13"/>
      <c r="L71" s="38"/>
      <c r="M71" s="37"/>
      <c r="N71" s="13"/>
      <c r="O71" s="37"/>
      <c r="P71" s="39"/>
      <c r="Q71" s="39"/>
      <c r="R71" s="39"/>
      <c r="S71" s="37"/>
    </row>
    <row r="72" spans="2:19">
      <c r="B72" s="26"/>
      <c r="C72" s="49"/>
      <c r="D72" s="53"/>
      <c r="E72" s="10"/>
      <c r="F72" s="40"/>
      <c r="G72" s="10"/>
      <c r="H72" s="40"/>
      <c r="I72" s="10"/>
      <c r="J72" s="40"/>
      <c r="K72" s="10"/>
      <c r="L72" s="41"/>
      <c r="M72" s="40"/>
      <c r="N72" s="10"/>
      <c r="O72" s="40"/>
      <c r="P72" s="42"/>
      <c r="Q72" s="42"/>
      <c r="R72" s="42"/>
      <c r="S72" s="40"/>
    </row>
    <row r="73" spans="2:19">
      <c r="B73" s="36"/>
      <c r="C73" s="48"/>
      <c r="D73" s="52"/>
      <c r="E73" s="13"/>
      <c r="F73" s="37"/>
      <c r="G73" s="13"/>
      <c r="H73" s="37"/>
      <c r="I73" s="13"/>
      <c r="J73" s="37"/>
      <c r="K73" s="13"/>
      <c r="L73" s="38"/>
      <c r="M73" s="37"/>
      <c r="N73" s="13"/>
      <c r="O73" s="37"/>
      <c r="P73" s="39"/>
      <c r="Q73" s="39"/>
      <c r="R73" s="39"/>
      <c r="S73" s="37"/>
    </row>
    <row r="74" spans="2:19">
      <c r="B74" s="26"/>
      <c r="C74" s="49"/>
      <c r="D74" s="53"/>
      <c r="E74" s="10"/>
      <c r="F74" s="40"/>
      <c r="G74" s="10"/>
      <c r="H74" s="40"/>
      <c r="I74" s="10"/>
      <c r="J74" s="40"/>
      <c r="K74" s="10"/>
      <c r="L74" s="41"/>
      <c r="M74" s="40"/>
      <c r="N74" s="10"/>
      <c r="O74" s="40"/>
      <c r="P74" s="42"/>
      <c r="Q74" s="42"/>
      <c r="R74" s="42"/>
      <c r="S74" s="40"/>
    </row>
    <row r="75" spans="2:19">
      <c r="B75" s="36"/>
      <c r="C75" s="48"/>
      <c r="D75" s="52"/>
      <c r="E75" s="13"/>
      <c r="F75" s="37"/>
      <c r="G75" s="13"/>
      <c r="H75" s="37"/>
      <c r="I75" s="13"/>
      <c r="J75" s="37"/>
      <c r="K75" s="13"/>
      <c r="L75" s="38"/>
      <c r="M75" s="37"/>
      <c r="N75" s="13"/>
      <c r="O75" s="37"/>
      <c r="P75" s="39"/>
      <c r="Q75" s="39"/>
      <c r="R75" s="39"/>
      <c r="S75" s="37"/>
    </row>
    <row r="76" spans="2:19">
      <c r="B76" s="26"/>
      <c r="C76" s="49"/>
      <c r="D76" s="53"/>
      <c r="E76" s="10"/>
      <c r="F76" s="40"/>
      <c r="G76" s="10"/>
      <c r="H76" s="40"/>
      <c r="I76" s="10"/>
      <c r="J76" s="40"/>
      <c r="K76" s="10"/>
      <c r="L76" s="41"/>
      <c r="M76" s="40"/>
      <c r="N76" s="10"/>
      <c r="O76" s="40"/>
      <c r="P76" s="42"/>
      <c r="Q76" s="42"/>
      <c r="R76" s="42"/>
      <c r="S76" s="40"/>
    </row>
    <row r="77" spans="2:19">
      <c r="B77" s="36"/>
      <c r="C77" s="48"/>
      <c r="D77" s="52"/>
      <c r="E77" s="13"/>
      <c r="F77" s="37"/>
      <c r="G77" s="13"/>
      <c r="H77" s="37"/>
      <c r="I77" s="13"/>
      <c r="J77" s="37"/>
      <c r="K77" s="13"/>
      <c r="L77" s="38"/>
      <c r="M77" s="37"/>
      <c r="N77" s="13"/>
      <c r="O77" s="37"/>
      <c r="P77" s="39"/>
      <c r="Q77" s="39"/>
      <c r="R77" s="39"/>
      <c r="S77" s="37"/>
    </row>
    <row r="78" spans="2:19">
      <c r="B78" s="26"/>
      <c r="C78" s="49"/>
      <c r="D78" s="53"/>
      <c r="E78" s="10"/>
      <c r="F78" s="40"/>
      <c r="G78" s="10"/>
      <c r="H78" s="40"/>
      <c r="I78" s="10"/>
      <c r="J78" s="40"/>
      <c r="K78" s="10"/>
      <c r="L78" s="41"/>
      <c r="M78" s="40"/>
      <c r="N78" s="10"/>
      <c r="O78" s="40"/>
      <c r="P78" s="42"/>
      <c r="Q78" s="42"/>
      <c r="R78" s="42"/>
      <c r="S78" s="40"/>
    </row>
    <row r="79" spans="2:19">
      <c r="B79" s="36"/>
      <c r="C79" s="48"/>
      <c r="D79" s="52"/>
      <c r="E79" s="13"/>
      <c r="F79" s="37"/>
      <c r="G79" s="13"/>
      <c r="H79" s="37"/>
      <c r="I79" s="13"/>
      <c r="J79" s="37"/>
      <c r="K79" s="13"/>
      <c r="L79" s="38"/>
      <c r="M79" s="37"/>
      <c r="N79" s="13"/>
      <c r="O79" s="37"/>
      <c r="P79" s="39"/>
      <c r="Q79" s="39"/>
      <c r="R79" s="39"/>
      <c r="S79" s="37"/>
    </row>
    <row r="80" spans="2:19">
      <c r="B80" s="26"/>
      <c r="C80" s="49"/>
      <c r="D80" s="53"/>
      <c r="E80" s="10"/>
      <c r="F80" s="40"/>
      <c r="G80" s="10"/>
      <c r="H80" s="40"/>
      <c r="I80" s="10"/>
      <c r="J80" s="40"/>
      <c r="K80" s="10"/>
      <c r="L80" s="41"/>
      <c r="M80" s="40"/>
      <c r="N80" s="10"/>
      <c r="O80" s="40"/>
      <c r="P80" s="42"/>
      <c r="Q80" s="42"/>
      <c r="R80" s="42"/>
      <c r="S80" s="40"/>
    </row>
    <row r="81" spans="2:19">
      <c r="B81" s="36"/>
      <c r="C81" s="48"/>
      <c r="D81" s="52"/>
      <c r="E81" s="13"/>
      <c r="F81" s="37"/>
      <c r="G81" s="13"/>
      <c r="H81" s="37"/>
      <c r="I81" s="13"/>
      <c r="J81" s="37"/>
      <c r="K81" s="13"/>
      <c r="L81" s="38"/>
      <c r="M81" s="37"/>
      <c r="N81" s="13"/>
      <c r="O81" s="37"/>
      <c r="P81" s="39"/>
      <c r="Q81" s="39"/>
      <c r="R81" s="39"/>
      <c r="S81" s="37"/>
    </row>
    <row r="82" spans="2:19">
      <c r="B82" s="26"/>
      <c r="C82" s="49"/>
      <c r="D82" s="53"/>
      <c r="E82" s="10"/>
      <c r="F82" s="40"/>
      <c r="G82" s="10"/>
      <c r="H82" s="40"/>
      <c r="I82" s="10"/>
      <c r="J82" s="40"/>
      <c r="K82" s="10"/>
      <c r="L82" s="41"/>
      <c r="M82" s="40"/>
      <c r="N82" s="10"/>
      <c r="O82" s="40"/>
      <c r="P82" s="42"/>
      <c r="Q82" s="42"/>
      <c r="R82" s="42"/>
      <c r="S82" s="40"/>
    </row>
    <row r="83" spans="2:19">
      <c r="B83" s="36"/>
      <c r="C83" s="48"/>
      <c r="D83" s="52"/>
      <c r="E83" s="13"/>
      <c r="F83" s="37"/>
      <c r="G83" s="13"/>
      <c r="H83" s="37"/>
      <c r="I83" s="13"/>
      <c r="J83" s="37"/>
      <c r="K83" s="13"/>
      <c r="L83" s="38"/>
      <c r="M83" s="37"/>
      <c r="N83" s="13"/>
      <c r="O83" s="37"/>
      <c r="P83" s="39"/>
      <c r="Q83" s="39"/>
      <c r="R83" s="39"/>
      <c r="S83" s="37"/>
    </row>
    <row r="84" spans="2:19">
      <c r="B84" s="26"/>
      <c r="C84" s="49"/>
      <c r="D84" s="53"/>
      <c r="E84" s="10"/>
      <c r="F84" s="40"/>
      <c r="G84" s="10"/>
      <c r="H84" s="40"/>
      <c r="I84" s="10"/>
      <c r="J84" s="40"/>
      <c r="K84" s="10"/>
      <c r="L84" s="41"/>
      <c r="M84" s="40"/>
      <c r="N84" s="10"/>
      <c r="O84" s="40"/>
      <c r="P84" s="42"/>
      <c r="Q84" s="42"/>
      <c r="R84" s="42"/>
      <c r="S84" s="40"/>
    </row>
    <row r="85" spans="2:19">
      <c r="B85" s="36"/>
      <c r="C85" s="48"/>
      <c r="D85" s="52"/>
      <c r="E85" s="13"/>
      <c r="F85" s="37"/>
      <c r="G85" s="13"/>
      <c r="H85" s="37"/>
      <c r="I85" s="13"/>
      <c r="J85" s="37"/>
      <c r="K85" s="13"/>
      <c r="L85" s="38"/>
      <c r="M85" s="37"/>
      <c r="N85" s="13"/>
      <c r="O85" s="37"/>
      <c r="P85" s="39"/>
      <c r="Q85" s="39"/>
      <c r="R85" s="39"/>
      <c r="S85" s="37"/>
    </row>
    <row r="86" spans="2:19">
      <c r="B86" s="26"/>
      <c r="C86" s="49"/>
      <c r="D86" s="53"/>
      <c r="E86" s="10"/>
      <c r="F86" s="40"/>
      <c r="G86" s="10"/>
      <c r="H86" s="40"/>
      <c r="I86" s="10"/>
      <c r="J86" s="40"/>
      <c r="K86" s="10"/>
      <c r="L86" s="41"/>
      <c r="M86" s="40"/>
      <c r="N86" s="10"/>
      <c r="O86" s="40"/>
      <c r="P86" s="42"/>
      <c r="Q86" s="42"/>
      <c r="R86" s="42"/>
      <c r="S86" s="40"/>
    </row>
    <row r="87" spans="2:19">
      <c r="B87" s="36"/>
      <c r="C87" s="48"/>
      <c r="D87" s="52"/>
      <c r="E87" s="13"/>
      <c r="F87" s="37"/>
      <c r="G87" s="13"/>
      <c r="H87" s="37"/>
      <c r="I87" s="13"/>
      <c r="J87" s="37"/>
      <c r="K87" s="13"/>
      <c r="L87" s="38"/>
      <c r="M87" s="37"/>
      <c r="N87" s="13"/>
      <c r="O87" s="37"/>
      <c r="P87" s="39"/>
      <c r="Q87" s="39"/>
      <c r="R87" s="39"/>
      <c r="S87" s="37"/>
    </row>
    <row r="88" spans="2:19">
      <c r="B88" s="26"/>
      <c r="C88" s="49"/>
      <c r="D88" s="53"/>
      <c r="E88" s="10"/>
      <c r="F88" s="40"/>
      <c r="G88" s="10"/>
      <c r="H88" s="40"/>
      <c r="I88" s="10"/>
      <c r="J88" s="40"/>
      <c r="K88" s="10"/>
      <c r="L88" s="41"/>
      <c r="M88" s="40"/>
      <c r="N88" s="10"/>
      <c r="O88" s="40"/>
      <c r="P88" s="42"/>
      <c r="Q88" s="42"/>
      <c r="R88" s="42"/>
      <c r="S88" s="40"/>
    </row>
    <row r="89" spans="2:19">
      <c r="B89" s="36"/>
      <c r="C89" s="48"/>
      <c r="D89" s="52"/>
      <c r="E89" s="13"/>
      <c r="F89" s="37"/>
      <c r="G89" s="13"/>
      <c r="H89" s="37"/>
      <c r="I89" s="13"/>
      <c r="J89" s="37"/>
      <c r="K89" s="13"/>
      <c r="L89" s="38"/>
      <c r="M89" s="37"/>
      <c r="N89" s="13"/>
      <c r="O89" s="37"/>
      <c r="P89" s="39"/>
      <c r="Q89" s="39"/>
      <c r="R89" s="39"/>
      <c r="S89" s="37"/>
    </row>
    <row r="90" spans="2:19">
      <c r="B90" s="26"/>
      <c r="C90" s="49"/>
      <c r="D90" s="53"/>
      <c r="E90" s="10"/>
      <c r="F90" s="40"/>
      <c r="G90" s="10"/>
      <c r="H90" s="40"/>
      <c r="I90" s="10"/>
      <c r="J90" s="40"/>
      <c r="K90" s="10"/>
      <c r="L90" s="41"/>
      <c r="M90" s="40"/>
      <c r="N90" s="10"/>
      <c r="O90" s="40"/>
      <c r="P90" s="42"/>
      <c r="Q90" s="42"/>
      <c r="R90" s="42"/>
      <c r="S90" s="40"/>
    </row>
    <row r="91" spans="2:19">
      <c r="B91" s="36"/>
      <c r="C91" s="48"/>
      <c r="D91" s="52"/>
      <c r="E91" s="13"/>
      <c r="F91" s="37"/>
      <c r="G91" s="13"/>
      <c r="H91" s="37"/>
      <c r="I91" s="13"/>
      <c r="J91" s="37"/>
      <c r="K91" s="13"/>
      <c r="L91" s="38"/>
      <c r="M91" s="37"/>
      <c r="N91" s="13"/>
      <c r="O91" s="37"/>
      <c r="P91" s="39"/>
      <c r="Q91" s="39"/>
      <c r="R91" s="39"/>
      <c r="S91" s="37"/>
    </row>
    <row r="92" spans="2:19">
      <c r="B92" s="26"/>
      <c r="C92" s="49"/>
      <c r="D92" s="53"/>
      <c r="E92" s="10"/>
      <c r="F92" s="40"/>
      <c r="G92" s="10"/>
      <c r="H92" s="40"/>
      <c r="I92" s="10"/>
      <c r="J92" s="40"/>
      <c r="K92" s="10"/>
      <c r="L92" s="41"/>
      <c r="M92" s="40"/>
      <c r="N92" s="10"/>
      <c r="O92" s="40"/>
      <c r="P92" s="42"/>
      <c r="Q92" s="42"/>
      <c r="R92" s="42"/>
      <c r="S92" s="40"/>
    </row>
    <row r="93" spans="2:19">
      <c r="B93" s="36"/>
      <c r="C93" s="48"/>
      <c r="D93" s="52"/>
      <c r="E93" s="13"/>
      <c r="F93" s="37"/>
      <c r="G93" s="13"/>
      <c r="H93" s="37"/>
      <c r="I93" s="13"/>
      <c r="J93" s="37"/>
      <c r="K93" s="13"/>
      <c r="L93" s="38"/>
      <c r="M93" s="37"/>
      <c r="N93" s="13"/>
      <c r="O93" s="37"/>
      <c r="P93" s="39"/>
      <c r="Q93" s="39"/>
      <c r="R93" s="39"/>
      <c r="S93" s="37"/>
    </row>
    <row r="94" spans="2:19">
      <c r="B94" s="26"/>
      <c r="C94" s="49"/>
      <c r="D94" s="53"/>
      <c r="E94" s="10"/>
      <c r="F94" s="40"/>
      <c r="G94" s="10"/>
      <c r="H94" s="40"/>
      <c r="I94" s="10"/>
      <c r="J94" s="40"/>
      <c r="K94" s="10"/>
      <c r="L94" s="41"/>
      <c r="M94" s="40"/>
      <c r="N94" s="10"/>
      <c r="O94" s="40"/>
      <c r="P94" s="42"/>
      <c r="Q94" s="42"/>
      <c r="R94" s="42"/>
      <c r="S94" s="40"/>
    </row>
    <row r="95" spans="2:19">
      <c r="B95" s="36"/>
      <c r="C95" s="48"/>
      <c r="D95" s="52"/>
      <c r="E95" s="13"/>
      <c r="F95" s="37"/>
      <c r="G95" s="13"/>
      <c r="H95" s="37"/>
      <c r="I95" s="13"/>
      <c r="J95" s="37"/>
      <c r="K95" s="13"/>
      <c r="L95" s="38"/>
      <c r="M95" s="37"/>
      <c r="N95" s="13"/>
      <c r="O95" s="37"/>
      <c r="P95" s="39"/>
      <c r="Q95" s="39"/>
      <c r="R95" s="39"/>
      <c r="S95" s="37"/>
    </row>
    <row r="96" spans="2:19">
      <c r="B96" s="43"/>
      <c r="C96" s="50"/>
      <c r="D96" s="54"/>
      <c r="E96" s="14"/>
      <c r="F96" s="44"/>
      <c r="G96" s="14"/>
      <c r="H96" s="44"/>
      <c r="I96" s="14"/>
      <c r="J96" s="44"/>
      <c r="K96" s="14"/>
      <c r="L96" s="45"/>
      <c r="M96" s="44"/>
      <c r="N96" s="14"/>
      <c r="O96" s="44"/>
      <c r="P96" s="46"/>
      <c r="Q96" s="46"/>
      <c r="R96" s="46"/>
      <c r="S96" s="44"/>
    </row>
  </sheetData>
  <sheetProtection selectLockedCells="1"/>
  <mergeCells count="21">
    <mergeCell ref="J3:J4"/>
    <mergeCell ref="K3:L3"/>
    <mergeCell ref="M3:N3"/>
    <mergeCell ref="B1:C1"/>
    <mergeCell ref="B3:B4"/>
    <mergeCell ref="G3:H3"/>
    <mergeCell ref="C3:D3"/>
    <mergeCell ref="G4:H4"/>
    <mergeCell ref="G5:H5"/>
    <mergeCell ref="B10:B11"/>
    <mergeCell ref="C10:C11"/>
    <mergeCell ref="E10:F10"/>
    <mergeCell ref="G10:H10"/>
    <mergeCell ref="Q10:Q11"/>
    <mergeCell ref="R10:R11"/>
    <mergeCell ref="S10:S11"/>
    <mergeCell ref="N10:O10"/>
    <mergeCell ref="D10:D11"/>
    <mergeCell ref="P10:P11"/>
    <mergeCell ref="I10:J10"/>
    <mergeCell ref="K10:M10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41</vt:i4>
      </vt:variant>
    </vt:vector>
  </HeadingPairs>
  <TitlesOfParts>
    <vt:vector size="44" baseType="lpstr">
      <vt:lpstr>SUMMARY</vt:lpstr>
      <vt:lpstr>Sheet2</vt:lpstr>
      <vt:lpstr>Sheet3</vt:lpstr>
      <vt:lpstr>AEB_TTC</vt:lpstr>
      <vt:lpstr>FCW_TTC</vt:lpstr>
      <vt:lpstr>High_speed_points</vt:lpstr>
      <vt:lpstr>Impact_speed</vt:lpstr>
      <vt:lpstr>Initial_speed</vt:lpstr>
      <vt:lpstr>low_speed_points</vt:lpstr>
      <vt:lpstr>Max_decel</vt:lpstr>
      <vt:lpstr>Max_light</vt:lpstr>
      <vt:lpstr>Max_light_time</vt:lpstr>
      <vt:lpstr>Max_temp</vt:lpstr>
      <vt:lpstr>Max_temp_time</vt:lpstr>
      <vt:lpstr>Max_wind</vt:lpstr>
      <vt:lpstr>Max_wind_time</vt:lpstr>
      <vt:lpstr>Maximum_offset</vt:lpstr>
      <vt:lpstr>Maximum_speed</vt:lpstr>
      <vt:lpstr>Maximum_yaw</vt:lpstr>
      <vt:lpstr>Min_light</vt:lpstr>
      <vt:lpstr>Min_light_time</vt:lpstr>
      <vt:lpstr>Min_temp</vt:lpstr>
      <vt:lpstr>Min_temp_time</vt:lpstr>
      <vt:lpstr>Min_wind</vt:lpstr>
      <vt:lpstr>Min_wind_time</vt:lpstr>
      <vt:lpstr>Minimum_APP</vt:lpstr>
      <vt:lpstr>Minimum_offset</vt:lpstr>
      <vt:lpstr>Minimum_speed</vt:lpstr>
      <vt:lpstr>Minimum_yaw</vt:lpstr>
      <vt:lpstr>Run_data</vt:lpstr>
      <vt:lpstr>Run_number</vt:lpstr>
      <vt:lpstr>Speed_reduction</vt:lpstr>
      <vt:lpstr>Speed_Reduction_20kph</vt:lpstr>
      <vt:lpstr>Speed_Reduction_40kph</vt:lpstr>
      <vt:lpstr>Target_APP</vt:lpstr>
      <vt:lpstr>Test_End</vt:lpstr>
      <vt:lpstr>Test_speed</vt:lpstr>
      <vt:lpstr>Test_Start</vt:lpstr>
      <vt:lpstr>Test_time</vt:lpstr>
      <vt:lpstr>Test_vehicle</vt:lpstr>
      <vt:lpstr>TestID</vt:lpstr>
      <vt:lpstr>Total_points</vt:lpstr>
      <vt:lpstr>Valid_20kph_Tests</vt:lpstr>
      <vt:lpstr>Valid_40kph_Tests</vt:lpstr>
    </vt:vector>
  </TitlesOfParts>
  <Company>Insurance Institute for Highway Safety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DAylor</dc:creator>
  <cp:lastModifiedBy>DAylor</cp:lastModifiedBy>
  <dcterms:created xsi:type="dcterms:W3CDTF">2013-07-16T20:23:46Z</dcterms:created>
  <dcterms:modified xsi:type="dcterms:W3CDTF">2014-05-28T15:36:19Z</dcterms:modified>
</cp:coreProperties>
</file>